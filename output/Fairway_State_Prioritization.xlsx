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Pipeline" sheetId="7" state="visible" r:id="rId7"/>
    <sheet xmlns:r="http://schemas.openxmlformats.org/officeDocument/2006/relationships" name="Pipeline Alloc" sheetId="8" state="visible" r:id="rId8"/>
    <sheet xmlns:r="http://schemas.openxmlformats.org/officeDocument/2006/relationships" name="Market Data" sheetId="9" state="visible" r:id="rId9"/>
    <sheet xmlns:r="http://schemas.openxmlformats.org/officeDocument/2006/relationships" name="Transactions" sheetId="10" state="visible" r:id="rId10"/>
    <sheet xmlns:r="http://schemas.openxmlformats.org/officeDocument/2006/relationships" name="Feedback Proc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$#,##0;($#,##0);&quot;-&quot;"/>
    <numFmt numFmtId="167" formatCode="0.000;(0.00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</font>
    <font>
      <name val="Arial"/>
      <b val="1"/>
      <sz val="14"/>
    </font>
    <font>
      <name val="Arial"/>
      <i val="1"/>
      <color rgb="00555555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7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165" fontId="3" fillId="0" borderId="0" pivotButton="0" quotePrefix="0" xfId="0"/>
    <xf numFmtId="0" fontId="2" fillId="0" borderId="0" pivotButton="0" quotePrefix="0" xfId="0"/>
    <xf numFmtId="164" fontId="7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7" fontId="3" fillId="0" borderId="0" pivotButton="0" quotePrefix="0" xfId="0"/>
    <xf numFmtId="165" fontId="2" fillId="3" borderId="0" pivotButton="0" quotePrefix="0" xfId="0"/>
    <xf numFmtId="165" fontId="7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3" fillId="0" borderId="0" pivotButton="0" quotePrefix="0" xfId="0"/>
    <xf numFmtId="16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Analyst</author>
  </authors>
  <commentList>
    <comment ref="G5" authorId="0" shapeId="0">
      <text>
        <t>Commitment scores are judgment inputs. 1.0 = signed or explicit ask from an existing customer; 0.8 = the deal at 80% with pricing agreed. See DECISIONS.md.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Fairway Autofill: which states to calibrate first</t>
        </is>
      </c>
      <c r="B1" s="2" t="n"/>
    </row>
    <row r="2">
      <c r="A2" s="3" t="inlineStr">
        <is>
          <t>Business Operations case study. Traction-first prioritization.</t>
        </is>
      </c>
      <c r="B2" s="2" t="n"/>
    </row>
    <row r="3">
      <c r="A3" s="2" t="n"/>
      <c r="B3" s="2" t="n"/>
    </row>
    <row r="4" ht="45" customHeight="1">
      <c r="A4" s="4" t="inlineStr">
        <is>
          <t>Thesis</t>
        </is>
      </c>
      <c r="B4" s="5" t="inlineStr">
        <is>
          <t>Autofill is a new product, so the goal of the first ~20 calibration days is traction: live usage and referenceable customers. So we rank states by where our existing customers, especially our biggest account (customer 87), already submit paperwork, then by commitments we've made. Pipeline $ and market size only break ties.</t>
        </is>
      </c>
    </row>
    <row r="5" ht="45" customHeight="1">
      <c r="A5" s="4" t="inlineStr">
        <is>
          <t>How to use</t>
        </is>
      </c>
      <c r="B5" s="5" t="inlineStr">
        <is>
          <t>Change the yellow cells on 'Weights' (or the commitment scores in Scorecard column G). 'Scorecard' and 'Top 10' recalculate.</t>
        </is>
      </c>
    </row>
    <row r="6" ht="45" customHeight="1">
      <c r="A6" s="4" t="inlineStr">
        <is>
          <t>Colour legend</t>
        </is>
      </c>
      <c r="B6" s="5" t="inlineStr">
        <is>
          <t>Blue text = hard-coded input or raw data. Black = formula. Yellow fill = a key judgment assumption to debate.</t>
        </is>
      </c>
    </row>
    <row r="7" ht="45" customHeight="1">
      <c r="A7" s="4" t="inlineStr">
        <is>
          <t>Tabs</t>
        </is>
      </c>
      <c r="B7" s="5" t="inlineStr">
        <is>
          <t>Top 10 | Scorecard | Weights | Calendar | Sensitivity | Pipeline | Pipeline Alloc | Market Data | Transactions | Feedback Process</t>
        </is>
      </c>
    </row>
    <row r="8" ht="45" customHeight="1">
      <c r="A8" s="4" t="inlineStr">
        <is>
          <t>Data</t>
        </is>
      </c>
      <c r="B8" s="5" t="inlineStr">
        <is>
          <t>transactions.csv: 200 transactions, Sep 24-28 2026, 4 customers. sales_pipeline.csv: 20 deals. Market data: FHWA MV-1 2023 and 2025 new-vehicle sales (sources on the Market Data tab).</t>
        </is>
      </c>
    </row>
    <row r="9" ht="45" customHeight="1">
      <c r="A9" s="4" t="inlineStr">
        <is>
          <t>Key caveats</t>
        </is>
      </c>
      <c r="B9" s="5" t="inlineStr">
        <is>
          <t>Only 5 days of transactions; customer 87 is 68% of the sample. The number of forms per state is assumed to be 2. Rep probabilities are uncalibrated. Full reasoning: DECISIONS.md in the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13" customWidth="1" min="4" max="4"/>
    <col width="14" customWidth="1" min="5" max="5"/>
    <col width="48" customWidth="1" min="6" max="6"/>
    <col width="90" customWidth="1" min="7" max="7"/>
  </cols>
  <sheetData>
    <row r="1">
      <c r="A1" s="1" t="inlineStr">
        <is>
          <t>Top 10 states to calibrate first (traction-first)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Pulled live from the Scorecard. Change the weights on 'Weights' and this list re-orders.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6" t="inlineStr">
        <is>
          <t>Rank</t>
        </is>
      </c>
      <c r="B4" s="6" t="inlineStr">
        <is>
          <t>State</t>
        </is>
      </c>
      <c r="C4" s="6" t="inlineStr">
        <is>
          <t>Score</t>
        </is>
      </c>
      <c r="D4" s="6" t="inlineStr">
        <is>
          <t>Transactions</t>
        </is>
      </c>
      <c r="E4" s="6" t="inlineStr">
        <is>
          <t>Anchor (87) txns</t>
        </is>
      </c>
      <c r="F4" s="6" t="inlineStr">
        <is>
          <t>Commitment basis</t>
        </is>
      </c>
      <c r="G4" s="6" t="inlineStr">
        <is>
          <t>Rationale</t>
        </is>
      </c>
    </row>
    <row r="5" ht="32" customHeight="1">
      <c r="A5" s="4" t="n">
        <v>1</v>
      </c>
      <c r="B5" s="5">
        <f>INDEX(Scorecard!$A$5:$A$55,MATCH($A5,Scorecard!$R$5:$R$55,0))</f>
        <v/>
      </c>
      <c r="C5" s="7">
        <f>INDEX(Scorecard!$Q$5:$Q$55,MATCH($A5,Scorecard!$R$5:$R$55,0))</f>
        <v/>
      </c>
      <c r="D5" s="8">
        <f>INDEX(Scorecard!$C$5:$C$55,MATCH($A5,Scorecard!$R$5:$R$55,0))</f>
        <v/>
      </c>
      <c r="E5" s="8">
        <f>INDEX(Scorecard!$F$5:$F$55,MATCH($A5,Scorecard!$R$5:$R$55,0))</f>
        <v/>
      </c>
      <c r="F5" s="5">
        <f>INDEX(Scorecard!$H$5:$H$55,MATCH($A5,Scorecard!$R$5:$R$55,0))</f>
        <v/>
      </c>
      <c r="G5" s="5">
        <f>INDEX(Scorecard!$T$5:$T$55,MATCH($A5,Scorecard!$R$5:$R$55,0))</f>
        <v/>
      </c>
    </row>
    <row r="6" ht="32" customHeight="1">
      <c r="A6" s="4" t="n">
        <v>2</v>
      </c>
      <c r="B6" s="5">
        <f>INDEX(Scorecard!$A$5:$A$55,MATCH($A6,Scorecard!$R$5:$R$55,0))</f>
        <v/>
      </c>
      <c r="C6" s="7">
        <f>INDEX(Scorecard!$Q$5:$Q$55,MATCH($A6,Scorecard!$R$5:$R$55,0))</f>
        <v/>
      </c>
      <c r="D6" s="8">
        <f>INDEX(Scorecard!$C$5:$C$55,MATCH($A6,Scorecard!$R$5:$R$55,0))</f>
        <v/>
      </c>
      <c r="E6" s="8">
        <f>INDEX(Scorecard!$F$5:$F$55,MATCH($A6,Scorecard!$R$5:$R$55,0))</f>
        <v/>
      </c>
      <c r="F6" s="5">
        <f>INDEX(Scorecard!$H$5:$H$55,MATCH($A6,Scorecard!$R$5:$R$55,0))</f>
        <v/>
      </c>
      <c r="G6" s="5">
        <f>INDEX(Scorecard!$T$5:$T$55,MATCH($A6,Scorecard!$R$5:$R$55,0))</f>
        <v/>
      </c>
    </row>
    <row r="7" ht="32" customHeight="1">
      <c r="A7" s="4" t="n">
        <v>3</v>
      </c>
      <c r="B7" s="5">
        <f>INDEX(Scorecard!$A$5:$A$55,MATCH($A7,Scorecard!$R$5:$R$55,0))</f>
        <v/>
      </c>
      <c r="C7" s="7">
        <f>INDEX(Scorecard!$Q$5:$Q$55,MATCH($A7,Scorecard!$R$5:$R$55,0))</f>
        <v/>
      </c>
      <c r="D7" s="8">
        <f>INDEX(Scorecard!$C$5:$C$55,MATCH($A7,Scorecard!$R$5:$R$55,0))</f>
        <v/>
      </c>
      <c r="E7" s="8">
        <f>INDEX(Scorecard!$F$5:$F$55,MATCH($A7,Scorecard!$R$5:$R$55,0))</f>
        <v/>
      </c>
      <c r="F7" s="5">
        <f>INDEX(Scorecard!$H$5:$H$55,MATCH($A7,Scorecard!$R$5:$R$55,0))</f>
        <v/>
      </c>
      <c r="G7" s="5">
        <f>INDEX(Scorecard!$T$5:$T$55,MATCH($A7,Scorecard!$R$5:$R$55,0))</f>
        <v/>
      </c>
    </row>
    <row r="8" ht="32" customHeight="1">
      <c r="A8" s="4" t="n">
        <v>4</v>
      </c>
      <c r="B8" s="5">
        <f>INDEX(Scorecard!$A$5:$A$55,MATCH($A8,Scorecard!$R$5:$R$55,0))</f>
        <v/>
      </c>
      <c r="C8" s="7">
        <f>INDEX(Scorecard!$Q$5:$Q$55,MATCH($A8,Scorecard!$R$5:$R$55,0))</f>
        <v/>
      </c>
      <c r="D8" s="8">
        <f>INDEX(Scorecard!$C$5:$C$55,MATCH($A8,Scorecard!$R$5:$R$55,0))</f>
        <v/>
      </c>
      <c r="E8" s="8">
        <f>INDEX(Scorecard!$F$5:$F$55,MATCH($A8,Scorecard!$R$5:$R$55,0))</f>
        <v/>
      </c>
      <c r="F8" s="5">
        <f>INDEX(Scorecard!$H$5:$H$55,MATCH($A8,Scorecard!$R$5:$R$55,0))</f>
        <v/>
      </c>
      <c r="G8" s="5">
        <f>INDEX(Scorecard!$T$5:$T$55,MATCH($A8,Scorecard!$R$5:$R$55,0))</f>
        <v/>
      </c>
    </row>
    <row r="9" ht="32" customHeight="1">
      <c r="A9" s="4" t="n">
        <v>5</v>
      </c>
      <c r="B9" s="5">
        <f>INDEX(Scorecard!$A$5:$A$55,MATCH($A9,Scorecard!$R$5:$R$55,0))</f>
        <v/>
      </c>
      <c r="C9" s="7">
        <f>INDEX(Scorecard!$Q$5:$Q$55,MATCH($A9,Scorecard!$R$5:$R$55,0))</f>
        <v/>
      </c>
      <c r="D9" s="8">
        <f>INDEX(Scorecard!$C$5:$C$55,MATCH($A9,Scorecard!$R$5:$R$55,0))</f>
        <v/>
      </c>
      <c r="E9" s="8">
        <f>INDEX(Scorecard!$F$5:$F$55,MATCH($A9,Scorecard!$R$5:$R$55,0))</f>
        <v/>
      </c>
      <c r="F9" s="5">
        <f>INDEX(Scorecard!$H$5:$H$55,MATCH($A9,Scorecard!$R$5:$R$55,0))</f>
        <v/>
      </c>
      <c r="G9" s="5">
        <f>INDEX(Scorecard!$T$5:$T$55,MATCH($A9,Scorecard!$R$5:$R$55,0))</f>
        <v/>
      </c>
    </row>
    <row r="10" ht="32" customHeight="1">
      <c r="A10" s="4" t="n">
        <v>6</v>
      </c>
      <c r="B10" s="5">
        <f>INDEX(Scorecard!$A$5:$A$55,MATCH($A10,Scorecard!$R$5:$R$55,0))</f>
        <v/>
      </c>
      <c r="C10" s="7">
        <f>INDEX(Scorecard!$Q$5:$Q$55,MATCH($A10,Scorecard!$R$5:$R$55,0))</f>
        <v/>
      </c>
      <c r="D10" s="8">
        <f>INDEX(Scorecard!$C$5:$C$55,MATCH($A10,Scorecard!$R$5:$R$55,0))</f>
        <v/>
      </c>
      <c r="E10" s="8">
        <f>INDEX(Scorecard!$F$5:$F$55,MATCH($A10,Scorecard!$R$5:$R$55,0))</f>
        <v/>
      </c>
      <c r="F10" s="5">
        <f>INDEX(Scorecard!$H$5:$H$55,MATCH($A10,Scorecard!$R$5:$R$55,0))</f>
        <v/>
      </c>
      <c r="G10" s="5">
        <f>INDEX(Scorecard!$T$5:$T$55,MATCH($A10,Scorecard!$R$5:$R$55,0))</f>
        <v/>
      </c>
    </row>
    <row r="11" ht="32" customHeight="1">
      <c r="A11" s="4" t="n">
        <v>7</v>
      </c>
      <c r="B11" s="5">
        <f>INDEX(Scorecard!$A$5:$A$55,MATCH($A11,Scorecard!$R$5:$R$55,0))</f>
        <v/>
      </c>
      <c r="C11" s="7">
        <f>INDEX(Scorecard!$Q$5:$Q$55,MATCH($A11,Scorecard!$R$5:$R$55,0))</f>
        <v/>
      </c>
      <c r="D11" s="8">
        <f>INDEX(Scorecard!$C$5:$C$55,MATCH($A11,Scorecard!$R$5:$R$55,0))</f>
        <v/>
      </c>
      <c r="E11" s="8">
        <f>INDEX(Scorecard!$F$5:$F$55,MATCH($A11,Scorecard!$R$5:$R$55,0))</f>
        <v/>
      </c>
      <c r="F11" s="5">
        <f>INDEX(Scorecard!$H$5:$H$55,MATCH($A11,Scorecard!$R$5:$R$55,0))</f>
        <v/>
      </c>
      <c r="G11" s="5">
        <f>INDEX(Scorecard!$T$5:$T$55,MATCH($A11,Scorecard!$R$5:$R$55,0))</f>
        <v/>
      </c>
    </row>
    <row r="12" ht="32" customHeight="1">
      <c r="A12" s="4" t="n">
        <v>8</v>
      </c>
      <c r="B12" s="5">
        <f>INDEX(Scorecard!$A$5:$A$55,MATCH($A12,Scorecard!$R$5:$R$55,0))</f>
        <v/>
      </c>
      <c r="C12" s="7">
        <f>INDEX(Scorecard!$Q$5:$Q$55,MATCH($A12,Scorecard!$R$5:$R$55,0))</f>
        <v/>
      </c>
      <c r="D12" s="8">
        <f>INDEX(Scorecard!$C$5:$C$55,MATCH($A12,Scorecard!$R$5:$R$55,0))</f>
        <v/>
      </c>
      <c r="E12" s="8">
        <f>INDEX(Scorecard!$F$5:$F$55,MATCH($A12,Scorecard!$R$5:$R$55,0))</f>
        <v/>
      </c>
      <c r="F12" s="5">
        <f>INDEX(Scorecard!$H$5:$H$55,MATCH($A12,Scorecard!$R$5:$R$55,0))</f>
        <v/>
      </c>
      <c r="G12" s="5">
        <f>INDEX(Scorecard!$T$5:$T$55,MATCH($A12,Scorecard!$R$5:$R$55,0))</f>
        <v/>
      </c>
    </row>
    <row r="13" ht="32" customHeight="1">
      <c r="A13" s="4" t="n">
        <v>9</v>
      </c>
      <c r="B13" s="5">
        <f>INDEX(Scorecard!$A$5:$A$55,MATCH($A13,Scorecard!$R$5:$R$55,0))</f>
        <v/>
      </c>
      <c r="C13" s="7">
        <f>INDEX(Scorecard!$Q$5:$Q$55,MATCH($A13,Scorecard!$R$5:$R$55,0))</f>
        <v/>
      </c>
      <c r="D13" s="8">
        <f>INDEX(Scorecard!$C$5:$C$55,MATCH($A13,Scorecard!$R$5:$R$55,0))</f>
        <v/>
      </c>
      <c r="E13" s="8">
        <f>INDEX(Scorecard!$F$5:$F$55,MATCH($A13,Scorecard!$R$5:$R$55,0))</f>
        <v/>
      </c>
      <c r="F13" s="5">
        <f>INDEX(Scorecard!$H$5:$H$55,MATCH($A13,Scorecard!$R$5:$R$55,0))</f>
        <v/>
      </c>
      <c r="G13" s="5">
        <f>INDEX(Scorecard!$T$5:$T$55,MATCH($A13,Scorecard!$R$5:$R$55,0))</f>
        <v/>
      </c>
    </row>
    <row r="14" ht="32" customHeight="1">
      <c r="A14" s="4" t="n">
        <v>10</v>
      </c>
      <c r="B14" s="5">
        <f>INDEX(Scorecard!$A$5:$A$55,MATCH($A14,Scorecard!$R$5:$R$55,0))</f>
        <v/>
      </c>
      <c r="C14" s="7">
        <f>INDEX(Scorecard!$Q$5:$Q$55,MATCH($A14,Scorecard!$R$5:$R$55,0))</f>
        <v/>
      </c>
      <c r="D14" s="8">
        <f>INDEX(Scorecard!$C$5:$C$55,MATCH($A14,Scorecard!$R$5:$R$55,0))</f>
        <v/>
      </c>
      <c r="E14" s="8">
        <f>INDEX(Scorecard!$F$5:$F$55,MATCH($A14,Scorecard!$R$5:$R$55,0))</f>
        <v/>
      </c>
      <c r="F14" s="5">
        <f>INDEX(Scorecard!$H$5:$H$55,MATCH($A14,Scorecard!$R$5:$R$55,0))</f>
        <v/>
      </c>
      <c r="G14" s="5">
        <f>INDEX(Scorecard!$T$5:$T$55,MATCH($A14,Scorecard!$R$5:$R$55,0))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4" t="inlineStr">
        <is>
          <t>Share of recent transactions covered by the top 10:</t>
        </is>
      </c>
      <c r="B16" s="2" t="n"/>
      <c r="C16" s="2" t="n"/>
      <c r="D16" s="2" t="n"/>
      <c r="E16" s="2" t="n"/>
      <c r="F16" s="9">
        <f>SUM(D5:D14)/COUNTA(Transactions!$A$2:$A$201)</f>
        <v/>
      </c>
      <c r="G16" s="2" t="n"/>
    </row>
    <row r="17">
      <c r="A17" s="2">
        <f>"Anchor customer 87 coverage: "&amp;TEXT(SUM(E5:E14)/COUNTIF(Transactions!$A$2:$A$201,Weights!$C$11),"0%")&amp;" of their transactions"</f>
        <v/>
      </c>
      <c r="B17" s="2" t="n"/>
      <c r="C17" s="2" t="n"/>
      <c r="D17" s="2" t="n"/>
      <c r="E17" s="2" t="n"/>
      <c r="F17" s="2" t="n"/>
      <c r="G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7" customWidth="1" min="4" max="4"/>
    <col width="7" customWidth="1" min="5" max="5"/>
    <col width="11" customWidth="1" min="6" max="6"/>
    <col width="12" customWidth="1" min="7" max="7"/>
    <col width="4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9" customWidth="1" min="17" max="17"/>
    <col width="7" customWidth="1" min="18" max="18"/>
    <col width="8" customWidth="1" min="19" max="19"/>
    <col width="80" customWidth="1" min="20" max="20"/>
  </cols>
  <sheetData>
    <row r="1">
      <c r="A1" s="1" t="inlineStr">
        <is>
          <t>State scorecard (live)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Score = SUMPRODUCT of weights x components normalized 0-1 (value / max across states). Edit Weights or column G to re-rank.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6" t="inlineStr">
        <is>
          <t>State</t>
        </is>
      </c>
      <c r="B4" s="6" t="inlineStr">
        <is>
          <t>Abbr</t>
        </is>
      </c>
      <c r="C4" s="6" t="inlineStr">
        <is>
          <t>Transactions</t>
        </is>
      </c>
      <c r="D4" s="6" t="inlineStr">
        <is>
          <t>New</t>
        </is>
      </c>
      <c r="E4" s="6" t="inlineStr">
        <is>
          <t>Used</t>
        </is>
      </c>
      <c r="F4" s="6" t="inlineStr">
        <is>
          <t>Anchor (87) txns</t>
        </is>
      </c>
      <c r="G4" s="6" t="inlineStr">
        <is>
          <t>Commitment (0-1)</t>
        </is>
      </c>
      <c r="H4" s="6" t="inlineStr">
        <is>
          <t>Commitment basis</t>
        </is>
      </c>
      <c r="I4" s="6" t="inlineStr">
        <is>
          <t>Autofill pipeline ($)</t>
        </is>
      </c>
      <c r="J4" s="6" t="inlineStr">
        <is>
          <t>FHWA registrations</t>
        </is>
      </c>
      <c r="K4" s="6" t="inlineStr">
        <is>
          <t>New sales 2025</t>
        </is>
      </c>
      <c r="L4" s="6" t="inlineStr">
        <is>
          <t>Volume (norm)</t>
        </is>
      </c>
      <c r="M4" s="6" t="inlineStr">
        <is>
          <t>Anchor (norm)</t>
        </is>
      </c>
      <c r="N4" s="6" t="inlineStr">
        <is>
          <t>Commitment (norm)</t>
        </is>
      </c>
      <c r="O4" s="6" t="inlineStr">
        <is>
          <t>Pipeline (norm)</t>
        </is>
      </c>
      <c r="P4" s="6" t="inlineStr">
        <is>
          <t>Market (norm)</t>
        </is>
      </c>
      <c r="Q4" s="6" t="inlineStr">
        <is>
          <t>Score</t>
        </is>
      </c>
      <c r="R4" s="6" t="inlineStr">
        <is>
          <t>Rank</t>
        </is>
      </c>
      <c r="S4" s="6" t="inlineStr">
        <is>
          <t>Top N?</t>
        </is>
      </c>
      <c r="T4" s="6" t="inlineStr">
        <is>
          <t>Rationale</t>
        </is>
      </c>
    </row>
    <row r="5">
      <c r="A5" s="10" t="inlineStr">
        <is>
          <t>Texas</t>
        </is>
      </c>
      <c r="B5" s="10" t="inlineStr">
        <is>
          <t>TX</t>
        </is>
      </c>
      <c r="C5" s="11">
        <f>COUNTIF(Transactions!$B$2:$B$201,$A5)</f>
        <v/>
      </c>
      <c r="D5" s="11">
        <f>COUNTIFS(Transactions!$B$2:$B$201,$A5,Transactions!$D$2:$D$201,"New vehicle transaction")</f>
        <v/>
      </c>
      <c r="E5" s="11">
        <f>COUNTIFS(Transactions!$B$2:$B$201,$A5,Transactions!$D$2:$D$201,"Used vehicle transaction")</f>
        <v/>
      </c>
      <c r="F5" s="11">
        <f>COUNTIFS(Transactions!$B$2:$B$201,$A5,Transactions!$A$2:$A$201,Weights!$C$11)</f>
        <v/>
      </c>
      <c r="G5" s="12" t="n">
        <v>1</v>
      </c>
      <c r="H5" s="13" t="inlineStr">
        <is>
          <t>D02: existing customers 110/121, pricing agreed, 'wants Texas live first'</t>
        </is>
      </c>
      <c r="I5" s="14">
        <f>SUMIF('Pipeline Alloc'!$B$5:$B$201,$A5,'Pipeline Alloc'!$E$5:$E$201)</f>
        <v/>
      </c>
      <c r="J5" s="11">
        <f>INDEX('Market Data'!$C$2:$C$52,MATCH($A5,'Market Data'!$A$2:$A$52,0))</f>
        <v/>
      </c>
      <c r="K5" s="11">
        <f>INDEX('Market Data'!$D$2:$D$52,MATCH($A5,'Market Data'!$A$2:$A$52,0))</f>
        <v/>
      </c>
      <c r="L5" s="15">
        <f>IF(MAX(C$5:C$55)=0,0,C5/MAX(C$5:C$55))</f>
        <v/>
      </c>
      <c r="M5" s="15">
        <f>IF(MAX(F$5:F$55)=0,0,F5/MAX(F$5:F$55))</f>
        <v/>
      </c>
      <c r="N5" s="15">
        <f>G5</f>
        <v/>
      </c>
      <c r="O5" s="15">
        <f>IF(MAX(I$5:I$55)=0,0,I5/MAX(I$5:I$55))</f>
        <v/>
      </c>
      <c r="P5" s="15">
        <f>IF(K5=0,J5/MAX(J$5:J$55),(J5/MAX(J$5:J$55)+K5/MAX(K$5:K$55))/2)</f>
        <v/>
      </c>
      <c r="Q5" s="16">
        <f>Weights!$C$5*L5+Weights!$C$6*M5+Weights!$C$7*N5+Weights!$C$8*O5+Weights!$C$9*P5</f>
        <v/>
      </c>
      <c r="R5" s="4">
        <f>RANK(Q5,Q$5:Q$55)+COUNTIFS(Q$5:Q$55,Q5,C$5:C$55,"&gt;"&amp;C5)</f>
        <v/>
      </c>
      <c r="S5" s="2">
        <f>IF(R5&lt;=Weights!$C$12,"Yes","")</f>
        <v/>
      </c>
      <c r="T5" s="13" t="inlineStr">
        <is>
          <t>Largest usage (32% of transactions) from 3 existing customers; D02 explicitly wants Texas live first; D03 POC ($420k) is scored on Autofill accuracy.</t>
        </is>
      </c>
    </row>
    <row r="6">
      <c r="A6" s="10" t="inlineStr">
        <is>
          <t>Alabama</t>
        </is>
      </c>
      <c r="B6" s="10" t="inlineStr">
        <is>
          <t>AL</t>
        </is>
      </c>
      <c r="C6" s="11">
        <f>COUNTIF(Transactions!$B$2:$B$201,$A6)</f>
        <v/>
      </c>
      <c r="D6" s="11">
        <f>COUNTIFS(Transactions!$B$2:$B$201,$A6,Transactions!$D$2:$D$201,"New vehicle transaction")</f>
        <v/>
      </c>
      <c r="E6" s="11">
        <f>COUNTIFS(Transactions!$B$2:$B$201,$A6,Transactions!$D$2:$D$201,"Used vehicle transaction")</f>
        <v/>
      </c>
      <c r="F6" s="11">
        <f>COUNTIFS(Transactions!$B$2:$B$201,$A6,Transactions!$A$2:$A$201,Weights!$C$11)</f>
        <v/>
      </c>
      <c r="G6" s="12" t="n">
        <v>1</v>
      </c>
      <c r="H6" s="13" t="inlineStr">
        <is>
          <t>D09: Closed Won, Autofill promised for Q4</t>
        </is>
      </c>
      <c r="I6" s="14">
        <f>SUMIF('Pipeline Alloc'!$B$5:$B$201,$A6,'Pipeline Alloc'!$E$5:$E$201)</f>
        <v/>
      </c>
      <c r="J6" s="11">
        <f>INDEX('Market Data'!$C$2:$C$52,MATCH($A6,'Market Data'!$A$2:$A$52,0))</f>
        <v/>
      </c>
      <c r="K6" s="11">
        <f>INDEX('Market Data'!$D$2:$D$52,MATCH($A6,'Market Data'!$A$2:$A$52,0))</f>
        <v/>
      </c>
      <c r="L6" s="15">
        <f>IF(MAX(C$5:C$55)=0,0,C6/MAX(C$5:C$55))</f>
        <v/>
      </c>
      <c r="M6" s="15">
        <f>IF(MAX(F$5:F$55)=0,0,F6/MAX(F$5:F$55))</f>
        <v/>
      </c>
      <c r="N6" s="15">
        <f>G6</f>
        <v/>
      </c>
      <c r="O6" s="15">
        <f>IF(MAX(I$5:I$55)=0,0,I6/MAX(I$5:I$55))</f>
        <v/>
      </c>
      <c r="P6" s="15">
        <f>IF(K6=0,J6/MAX(J$5:J$55),(J6/MAX(J$5:J$55)+K6/MAX(K$5:K$55))/2)</f>
        <v/>
      </c>
      <c r="Q6" s="16">
        <f>Weights!$C$5*L6+Weights!$C$6*M6+Weights!$C$7*N6+Weights!$C$8*O6+Weights!$C$9*P6</f>
        <v/>
      </c>
      <c r="R6" s="4">
        <f>RANK(Q6,Q$5:Q$55)+COUNTIFS(Q$5:Q$55,Q6,C$5:C$55,"&gt;"&amp;C6)</f>
        <v/>
      </c>
      <c r="S6" s="2">
        <f>IF(R6&lt;=Weights!$C$12,"Yes","")</f>
        <v/>
      </c>
      <c r="T6" s="13" t="inlineStr">
        <is>
          <t>Anchor customer 87's #2 state (13 txns, mostly used); D09 is signed with Autofill promised for Q4.</t>
        </is>
      </c>
    </row>
    <row r="7">
      <c r="A7" s="10" t="inlineStr">
        <is>
          <t>Arizona</t>
        </is>
      </c>
      <c r="B7" s="10" t="inlineStr">
        <is>
          <t>AZ</t>
        </is>
      </c>
      <c r="C7" s="11">
        <f>COUNTIF(Transactions!$B$2:$B$201,$A7)</f>
        <v/>
      </c>
      <c r="D7" s="11">
        <f>COUNTIFS(Transactions!$B$2:$B$201,$A7,Transactions!$D$2:$D$201,"New vehicle transaction")</f>
        <v/>
      </c>
      <c r="E7" s="11">
        <f>COUNTIFS(Transactions!$B$2:$B$201,$A7,Transactions!$D$2:$D$201,"Used vehicle transaction")</f>
        <v/>
      </c>
      <c r="F7" s="11">
        <f>COUNTIFS(Transactions!$B$2:$B$201,$A7,Transactions!$A$2:$A$201,Weights!$C$11)</f>
        <v/>
      </c>
      <c r="G7" s="12" t="n">
        <v>0.8</v>
      </c>
      <c r="H7" s="13" t="inlineStr">
        <is>
          <t>D02: Negotiation at 80%</t>
        </is>
      </c>
      <c r="I7" s="14">
        <f>SUMIF('Pipeline Alloc'!$B$5:$B$201,$A7,'Pipeline Alloc'!$E$5:$E$201)</f>
        <v/>
      </c>
      <c r="J7" s="11">
        <f>INDEX('Market Data'!$C$2:$C$52,MATCH($A7,'Market Data'!$A$2:$A$52,0))</f>
        <v/>
      </c>
      <c r="K7" s="11">
        <f>INDEX('Market Data'!$D$2:$D$52,MATCH($A7,'Market Data'!$A$2:$A$52,0))</f>
        <v/>
      </c>
      <c r="L7" s="15">
        <f>IF(MAX(C$5:C$55)=0,0,C7/MAX(C$5:C$55))</f>
        <v/>
      </c>
      <c r="M7" s="15">
        <f>IF(MAX(F$5:F$55)=0,0,F7/MAX(F$5:F$55))</f>
        <v/>
      </c>
      <c r="N7" s="15">
        <f>G7</f>
        <v/>
      </c>
      <c r="O7" s="15">
        <f>IF(MAX(I$5:I$55)=0,0,I7/MAX(I$5:I$55))</f>
        <v/>
      </c>
      <c r="P7" s="15">
        <f>IF(K7=0,J7/MAX(J$5:J$55),(J7/MAX(J$5:J$55)+K7/MAX(K$5:K$55))/2)</f>
        <v/>
      </c>
      <c r="Q7" s="16">
        <f>Weights!$C$5*L7+Weights!$C$6*M7+Weights!$C$7*N7+Weights!$C$8*O7+Weights!$C$9*P7</f>
        <v/>
      </c>
      <c r="R7" s="4">
        <f>RANK(Q7,Q$5:Q$55)+COUNTIFS(Q$5:Q$55,Q7,C$5:C$55,"&gt;"&amp;C7)</f>
        <v/>
      </c>
      <c r="S7" s="2">
        <f>IF(R7&lt;=Weights!$C$12,"Yes","")</f>
        <v/>
      </c>
      <c r="T7" s="13" t="inlineStr">
        <is>
          <t>14 txns from customers 87 and 90; part of D02 (80%) and D17 (70%, new logo).</t>
        </is>
      </c>
    </row>
    <row r="8">
      <c r="A8" s="10" t="inlineStr">
        <is>
          <t>Georgia</t>
        </is>
      </c>
      <c r="B8" s="10" t="inlineStr">
        <is>
          <t>GA</t>
        </is>
      </c>
      <c r="C8" s="11">
        <f>COUNTIF(Transactions!$B$2:$B$201,$A8)</f>
        <v/>
      </c>
      <c r="D8" s="11">
        <f>COUNTIFS(Transactions!$B$2:$B$201,$A8,Transactions!$D$2:$D$201,"New vehicle transaction")</f>
        <v/>
      </c>
      <c r="E8" s="11">
        <f>COUNTIFS(Transactions!$B$2:$B$201,$A8,Transactions!$D$2:$D$201,"Used vehicle transaction")</f>
        <v/>
      </c>
      <c r="F8" s="11">
        <f>COUNTIFS(Transactions!$B$2:$B$201,$A8,Transactions!$A$2:$A$201,Weights!$C$11)</f>
        <v/>
      </c>
      <c r="G8" s="12" t="n">
        <v>1</v>
      </c>
      <c r="H8" s="13" t="inlineStr">
        <is>
          <t>D09: Closed Won, Autofill promised for Q4</t>
        </is>
      </c>
      <c r="I8" s="14">
        <f>SUMIF('Pipeline Alloc'!$B$5:$B$201,$A8,'Pipeline Alloc'!$E$5:$E$201)</f>
        <v/>
      </c>
      <c r="J8" s="11">
        <f>INDEX('Market Data'!$C$2:$C$52,MATCH($A8,'Market Data'!$A$2:$A$52,0))</f>
        <v/>
      </c>
      <c r="K8" s="11">
        <f>INDEX('Market Data'!$D$2:$D$52,MATCH($A8,'Market Data'!$A$2:$A$52,0))</f>
        <v/>
      </c>
      <c r="L8" s="15">
        <f>IF(MAX(C$5:C$55)=0,0,C8/MAX(C$5:C$55))</f>
        <v/>
      </c>
      <c r="M8" s="15">
        <f>IF(MAX(F$5:F$55)=0,0,F8/MAX(F$5:F$55))</f>
        <v/>
      </c>
      <c r="N8" s="15">
        <f>G8</f>
        <v/>
      </c>
      <c r="O8" s="15">
        <f>IF(MAX(I$5:I$55)=0,0,I8/MAX(I$5:I$55))</f>
        <v/>
      </c>
      <c r="P8" s="15">
        <f>IF(K8=0,J8/MAX(J$5:J$55),(J8/MAX(J$5:J$55)+K8/MAX(K$5:K$55))/2)</f>
        <v/>
      </c>
      <c r="Q8" s="16">
        <f>Weights!$C$5*L8+Weights!$C$6*M8+Weights!$C$7*N8+Weights!$C$8*O8+Weights!$C$9*P8</f>
        <v/>
      </c>
      <c r="R8" s="4">
        <f>RANK(Q8,Q$5:Q$55)+COUNTIFS(Q$5:Q$55,Q8,C$5:C$55,"&gt;"&amp;C8)</f>
        <v/>
      </c>
      <c r="S8" s="2">
        <f>IF(R8&lt;=Weights!$C$12,"Yes","")</f>
        <v/>
      </c>
      <c r="T8" s="13" t="inlineStr">
        <is>
          <t>9 txns from customer 87; D09 signed deal (Peach State) with Autofill promised for Q4.</t>
        </is>
      </c>
    </row>
    <row r="9">
      <c r="A9" s="10" t="inlineStr">
        <is>
          <t>Florida</t>
        </is>
      </c>
      <c r="B9" s="10" t="inlineStr">
        <is>
          <t>FL</t>
        </is>
      </c>
      <c r="C9" s="11">
        <f>COUNTIF(Transactions!$B$2:$B$201,$A9)</f>
        <v/>
      </c>
      <c r="D9" s="11">
        <f>COUNTIFS(Transactions!$B$2:$B$201,$A9,Transactions!$D$2:$D$201,"New vehicle transaction")</f>
        <v/>
      </c>
      <c r="E9" s="11">
        <f>COUNTIFS(Transactions!$B$2:$B$201,$A9,Transactions!$D$2:$D$201,"Used vehicle transaction")</f>
        <v/>
      </c>
      <c r="F9" s="11">
        <f>COUNTIFS(Transactions!$B$2:$B$201,$A9,Transactions!$A$2:$A$201,Weights!$C$11)</f>
        <v/>
      </c>
      <c r="G9" s="12" t="n">
        <v>0.8</v>
      </c>
      <c r="H9" s="13" t="inlineStr">
        <is>
          <t>D02: existing customer 121, Negotiation at 80%</t>
        </is>
      </c>
      <c r="I9" s="14">
        <f>SUMIF('Pipeline Alloc'!$B$5:$B$201,$A9,'Pipeline Alloc'!$E$5:$E$201)</f>
        <v/>
      </c>
      <c r="J9" s="11">
        <f>INDEX('Market Data'!$C$2:$C$52,MATCH($A9,'Market Data'!$A$2:$A$52,0))</f>
        <v/>
      </c>
      <c r="K9" s="11">
        <f>INDEX('Market Data'!$D$2:$D$52,MATCH($A9,'Market Data'!$A$2:$A$52,0))</f>
        <v/>
      </c>
      <c r="L9" s="15">
        <f>IF(MAX(C$5:C$55)=0,0,C9/MAX(C$5:C$55))</f>
        <v/>
      </c>
      <c r="M9" s="15">
        <f>IF(MAX(F$5:F$55)=0,0,F9/MAX(F$5:F$55))</f>
        <v/>
      </c>
      <c r="N9" s="15">
        <f>G9</f>
        <v/>
      </c>
      <c r="O9" s="15">
        <f>IF(MAX(I$5:I$55)=0,0,I9/MAX(I$5:I$55))</f>
        <v/>
      </c>
      <c r="P9" s="15">
        <f>IF(K9=0,J9/MAX(J$5:J$55),(J9/MAX(J$5:J$55)+K9/MAX(K$5:K$55))/2)</f>
        <v/>
      </c>
      <c r="Q9" s="16">
        <f>Weights!$C$5*L9+Weights!$C$6*M9+Weights!$C$7*N9+Weights!$C$8*O9+Weights!$C$9*P9</f>
        <v/>
      </c>
      <c r="R9" s="4">
        <f>RANK(Q9,Q$5:Q$55)+COUNTIFS(Q$5:Q$55,Q9,C$5:C$55,"&gt;"&amp;C9)</f>
        <v/>
      </c>
      <c r="S9" s="2">
        <f>IF(R9&lt;=Weights!$C$12,"Yes","")</f>
        <v/>
      </c>
      <c r="T9" s="13" t="inlineStr">
        <is>
          <t>2nd-highest usage (19 txns, customer 121 + 87); part of D02 at 80%.</t>
        </is>
      </c>
    </row>
    <row r="10">
      <c r="A10" s="10" t="inlineStr">
        <is>
          <t>Tennessee</t>
        </is>
      </c>
      <c r="B10" s="10" t="inlineStr">
        <is>
          <t>TN</t>
        </is>
      </c>
      <c r="C10" s="11">
        <f>COUNTIF(Transactions!$B$2:$B$201,$A10)</f>
        <v/>
      </c>
      <c r="D10" s="11">
        <f>COUNTIFS(Transactions!$B$2:$B$201,$A10,Transactions!$D$2:$D$201,"New vehicle transaction")</f>
        <v/>
      </c>
      <c r="E10" s="11">
        <f>COUNTIFS(Transactions!$B$2:$B$201,$A10,Transactions!$D$2:$D$201,"Used vehicle transaction")</f>
        <v/>
      </c>
      <c r="F10" s="11">
        <f>COUNTIFS(Transactions!$B$2:$B$201,$A10,Transactions!$A$2:$A$201,Weights!$C$11)</f>
        <v/>
      </c>
      <c r="G10" s="12" t="n">
        <v>1</v>
      </c>
      <c r="H10" s="13" t="inlineStr">
        <is>
          <t>D09: Closed Won, Autofill promised for Q4</t>
        </is>
      </c>
      <c r="I10" s="14">
        <f>SUMIF('Pipeline Alloc'!$B$5:$B$201,$A10,'Pipeline Alloc'!$E$5:$E$201)</f>
        <v/>
      </c>
      <c r="J10" s="11">
        <f>INDEX('Market Data'!$C$2:$C$52,MATCH($A10,'Market Data'!$A$2:$A$52,0))</f>
        <v/>
      </c>
      <c r="K10" s="11">
        <f>INDEX('Market Data'!$D$2:$D$52,MATCH($A10,'Market Data'!$A$2:$A$52,0))</f>
        <v/>
      </c>
      <c r="L10" s="15">
        <f>IF(MAX(C$5:C$55)=0,0,C10/MAX(C$5:C$55))</f>
        <v/>
      </c>
      <c r="M10" s="15">
        <f>IF(MAX(F$5:F$55)=0,0,F10/MAX(F$5:F$55))</f>
        <v/>
      </c>
      <c r="N10" s="15">
        <f>G10</f>
        <v/>
      </c>
      <c r="O10" s="15">
        <f>IF(MAX(I$5:I$55)=0,0,I10/MAX(I$5:I$55))</f>
        <v/>
      </c>
      <c r="P10" s="15">
        <f>IF(K10=0,J10/MAX(J$5:J$55),(J10/MAX(J$5:J$55)+K10/MAX(K$5:K$55))/2)</f>
        <v/>
      </c>
      <c r="Q10" s="16">
        <f>Weights!$C$5*L10+Weights!$C$6*M10+Weights!$C$7*N10+Weights!$C$8*O10+Weights!$C$9*P10</f>
        <v/>
      </c>
      <c r="R10" s="4">
        <f>RANK(Q10,Q$5:Q$55)+COUNTIFS(Q$5:Q$55,Q10,C$5:C$55,"&gt;"&amp;C10)</f>
        <v/>
      </c>
      <c r="S10" s="2">
        <f>IF(R10&lt;=Weights!$C$12,"Yes","")</f>
        <v/>
      </c>
      <c r="T10" s="13" t="inlineStr">
        <is>
          <t>Low current usage (3) but a contractual Q4 promise to D09, a signed customer.</t>
        </is>
      </c>
    </row>
    <row r="11">
      <c r="A11" s="10" t="inlineStr">
        <is>
          <t>Colorado</t>
        </is>
      </c>
      <c r="B11" s="10" t="inlineStr">
        <is>
          <t>CO</t>
        </is>
      </c>
      <c r="C11" s="11">
        <f>COUNTIF(Transactions!$B$2:$B$201,$A11)</f>
        <v/>
      </c>
      <c r="D11" s="11">
        <f>COUNTIFS(Transactions!$B$2:$B$201,$A11,Transactions!$D$2:$D$201,"New vehicle transaction")</f>
        <v/>
      </c>
      <c r="E11" s="11">
        <f>COUNTIFS(Transactions!$B$2:$B$201,$A11,Transactions!$D$2:$D$201,"Used vehicle transaction")</f>
        <v/>
      </c>
      <c r="F11" s="11">
        <f>COUNTIFS(Transactions!$B$2:$B$201,$A11,Transactions!$A$2:$A$201,Weights!$C$11)</f>
        <v/>
      </c>
      <c r="G11" s="10" t="n">
        <v>0</v>
      </c>
      <c r="H11" s="13" t="inlineStr"/>
      <c r="I11" s="14">
        <f>SUMIF('Pipeline Alloc'!$B$5:$B$201,$A11,'Pipeline Alloc'!$E$5:$E$201)</f>
        <v/>
      </c>
      <c r="J11" s="11">
        <f>INDEX('Market Data'!$C$2:$C$52,MATCH($A11,'Market Data'!$A$2:$A$52,0))</f>
        <v/>
      </c>
      <c r="K11" s="11">
        <f>INDEX('Market Data'!$D$2:$D$52,MATCH($A11,'Market Data'!$A$2:$A$52,0))</f>
        <v/>
      </c>
      <c r="L11" s="15">
        <f>IF(MAX(C$5:C$55)=0,0,C11/MAX(C$5:C$55))</f>
        <v/>
      </c>
      <c r="M11" s="15">
        <f>IF(MAX(F$5:F$55)=0,0,F11/MAX(F$5:F$55))</f>
        <v/>
      </c>
      <c r="N11" s="15">
        <f>G11</f>
        <v/>
      </c>
      <c r="O11" s="15">
        <f>IF(MAX(I$5:I$55)=0,0,I11/MAX(I$5:I$55))</f>
        <v/>
      </c>
      <c r="P11" s="15">
        <f>IF(K11=0,J11/MAX(J$5:J$55),(J11/MAX(J$5:J$55)+K11/MAX(K$5:K$55))/2)</f>
        <v/>
      </c>
      <c r="Q11" s="16">
        <f>Weights!$C$5*L11+Weights!$C$6*M11+Weights!$C$7*N11+Weights!$C$8*O11+Weights!$C$9*P11</f>
        <v/>
      </c>
      <c r="R11" s="4">
        <f>RANK(Q11,Q$5:Q$55)+COUNTIFS(Q$5:Q$55,Q11,C$5:C$55,"&gt;"&amp;C11)</f>
        <v/>
      </c>
      <c r="S11" s="2">
        <f>IF(R11&lt;=Weights!$C$12,"Yes","")</f>
        <v/>
      </c>
      <c r="T11" s="13" t="inlineStr">
        <is>
          <t>Customer 87's joint #2 state (13 txns) with no commitment; pure usage pick.</t>
        </is>
      </c>
    </row>
    <row r="12">
      <c r="A12" s="10" t="inlineStr">
        <is>
          <t>Virginia</t>
        </is>
      </c>
      <c r="B12" s="10" t="inlineStr">
        <is>
          <t>VA</t>
        </is>
      </c>
      <c r="C12" s="11">
        <f>COUNTIF(Transactions!$B$2:$B$201,$A12)</f>
        <v/>
      </c>
      <c r="D12" s="11">
        <f>COUNTIFS(Transactions!$B$2:$B$201,$A12,Transactions!$D$2:$D$201,"New vehicle transaction")</f>
        <v/>
      </c>
      <c r="E12" s="11">
        <f>COUNTIFS(Transactions!$B$2:$B$201,$A12,Transactions!$D$2:$D$201,"Used vehicle transaction")</f>
        <v/>
      </c>
      <c r="F12" s="11">
        <f>COUNTIFS(Transactions!$B$2:$B$201,$A12,Transactions!$A$2:$A$201,Weights!$C$11)</f>
        <v/>
      </c>
      <c r="G12" s="10" t="n">
        <v>0</v>
      </c>
      <c r="H12" s="13" t="inlineStr"/>
      <c r="I12" s="14">
        <f>SUMIF('Pipeline Alloc'!$B$5:$B$201,$A12,'Pipeline Alloc'!$E$5:$E$201)</f>
        <v/>
      </c>
      <c r="J12" s="11">
        <f>INDEX('Market Data'!$C$2:$C$52,MATCH($A12,'Market Data'!$A$2:$A$52,0))</f>
        <v/>
      </c>
      <c r="K12" s="11">
        <f>INDEX('Market Data'!$D$2:$D$52,MATCH($A12,'Market Data'!$A$2:$A$52,0))</f>
        <v/>
      </c>
      <c r="L12" s="15">
        <f>IF(MAX(C$5:C$55)=0,0,C12/MAX(C$5:C$55))</f>
        <v/>
      </c>
      <c r="M12" s="15">
        <f>IF(MAX(F$5:F$55)=0,0,F12/MAX(F$5:F$55))</f>
        <v/>
      </c>
      <c r="N12" s="15">
        <f>G12</f>
        <v/>
      </c>
      <c r="O12" s="15">
        <f>IF(MAX(I$5:I$55)=0,0,I12/MAX(I$5:I$55))</f>
        <v/>
      </c>
      <c r="P12" s="15">
        <f>IF(K12=0,J12/MAX(J$5:J$55),(J12/MAX(J$5:J$55)+K12/MAX(K$5:K$55))/2)</f>
        <v/>
      </c>
      <c r="Q12" s="16">
        <f>Weights!$C$5*L12+Weights!$C$6*M12+Weights!$C$7*N12+Weights!$C$8*O12+Weights!$C$9*P12</f>
        <v/>
      </c>
      <c r="R12" s="4">
        <f>RANK(Q12,Q$5:Q$55)+COUNTIFS(Q$5:Q$55,Q12,C$5:C$55,"&gt;"&amp;C12)</f>
        <v/>
      </c>
      <c r="S12" s="2">
        <f>IF(R12&lt;=Weights!$C$12,"Yes","")</f>
        <v/>
      </c>
      <c r="T12" s="13" t="inlineStr">
        <is>
          <t>The one pipeline-driven pick: D07 ($1.5M, 75%) says Autofill is a must-have to sign. Only 1 txn today. Debate item.</t>
        </is>
      </c>
    </row>
    <row r="13">
      <c r="A13" s="10" t="inlineStr">
        <is>
          <t>California</t>
        </is>
      </c>
      <c r="B13" s="10" t="inlineStr">
        <is>
          <t>CA</t>
        </is>
      </c>
      <c r="C13" s="11">
        <f>COUNTIF(Transactions!$B$2:$B$201,$A13)</f>
        <v/>
      </c>
      <c r="D13" s="11">
        <f>COUNTIFS(Transactions!$B$2:$B$201,$A13,Transactions!$D$2:$D$201,"New vehicle transaction")</f>
        <v/>
      </c>
      <c r="E13" s="11">
        <f>COUNTIFS(Transactions!$B$2:$B$201,$A13,Transactions!$D$2:$D$201,"Used vehicle transaction")</f>
        <v/>
      </c>
      <c r="F13" s="11">
        <f>COUNTIFS(Transactions!$B$2:$B$201,$A13,Transactions!$A$2:$A$201,Weights!$C$11)</f>
        <v/>
      </c>
      <c r="G13" s="10" t="n">
        <v>0</v>
      </c>
      <c r="H13" s="13" t="inlineStr"/>
      <c r="I13" s="14">
        <f>SUMIF('Pipeline Alloc'!$B$5:$B$201,$A13,'Pipeline Alloc'!$E$5:$E$201)</f>
        <v/>
      </c>
      <c r="J13" s="11">
        <f>INDEX('Market Data'!$C$2:$C$52,MATCH($A13,'Market Data'!$A$2:$A$52,0))</f>
        <v/>
      </c>
      <c r="K13" s="11">
        <f>INDEX('Market Data'!$D$2:$D$52,MATCH($A13,'Market Data'!$A$2:$A$52,0))</f>
        <v/>
      </c>
      <c r="L13" s="15">
        <f>IF(MAX(C$5:C$55)=0,0,C13/MAX(C$5:C$55))</f>
        <v/>
      </c>
      <c r="M13" s="15">
        <f>IF(MAX(F$5:F$55)=0,0,F13/MAX(F$5:F$55))</f>
        <v/>
      </c>
      <c r="N13" s="15">
        <f>G13</f>
        <v/>
      </c>
      <c r="O13" s="15">
        <f>IF(MAX(I$5:I$55)=0,0,I13/MAX(I$5:I$55))</f>
        <v/>
      </c>
      <c r="P13" s="15">
        <f>IF(K13=0,J13/MAX(J$5:J$55),(J13/MAX(J$5:J$55)+K13/MAX(K$5:K$55))/2)</f>
        <v/>
      </c>
      <c r="Q13" s="16">
        <f>Weights!$C$5*L13+Weights!$C$6*M13+Weights!$C$7*N13+Weights!$C$8*O13+Weights!$C$9*P13</f>
        <v/>
      </c>
      <c r="R13" s="4">
        <f>RANK(Q13,Q$5:Q$55)+COUNTIFS(Q$5:Q$55,Q13,C$5:C$55,"&gt;"&amp;C13)</f>
        <v/>
      </c>
      <c r="S13" s="2">
        <f>IF(R13&lt;=Weights!$C$12,"Yes","")</f>
        <v/>
      </c>
      <c r="T13" s="13" t="inlineStr">
        <is>
          <t>4 txns from customer 87; largest US market breaks the tie with PA/IL/AR.</t>
        </is>
      </c>
    </row>
    <row r="14">
      <c r="A14" s="10" t="inlineStr">
        <is>
          <t>Pennsylvania</t>
        </is>
      </c>
      <c r="B14" s="10" t="inlineStr">
        <is>
          <t>PA</t>
        </is>
      </c>
      <c r="C14" s="11">
        <f>COUNTIF(Transactions!$B$2:$B$201,$A14)</f>
        <v/>
      </c>
      <c r="D14" s="11">
        <f>COUNTIFS(Transactions!$B$2:$B$201,$A14,Transactions!$D$2:$D$201,"New vehicle transaction")</f>
        <v/>
      </c>
      <c r="E14" s="11">
        <f>COUNTIFS(Transactions!$B$2:$B$201,$A14,Transactions!$D$2:$D$201,"Used vehicle transaction")</f>
        <v/>
      </c>
      <c r="F14" s="11">
        <f>COUNTIFS(Transactions!$B$2:$B$201,$A14,Transactions!$A$2:$A$201,Weights!$C$11)</f>
        <v/>
      </c>
      <c r="G14" s="10" t="n">
        <v>0</v>
      </c>
      <c r="H14" s="13" t="inlineStr"/>
      <c r="I14" s="14">
        <f>SUMIF('Pipeline Alloc'!$B$5:$B$201,$A14,'Pipeline Alloc'!$E$5:$E$201)</f>
        <v/>
      </c>
      <c r="J14" s="11">
        <f>INDEX('Market Data'!$C$2:$C$52,MATCH($A14,'Market Data'!$A$2:$A$52,0))</f>
        <v/>
      </c>
      <c r="K14" s="11">
        <f>INDEX('Market Data'!$D$2:$D$52,MATCH($A14,'Market Data'!$A$2:$A$52,0))</f>
        <v/>
      </c>
      <c r="L14" s="15">
        <f>IF(MAX(C$5:C$55)=0,0,C14/MAX(C$5:C$55))</f>
        <v/>
      </c>
      <c r="M14" s="15">
        <f>IF(MAX(F$5:F$55)=0,0,F14/MAX(F$5:F$55))</f>
        <v/>
      </c>
      <c r="N14" s="15">
        <f>G14</f>
        <v/>
      </c>
      <c r="O14" s="15">
        <f>IF(MAX(I$5:I$55)=0,0,I14/MAX(I$5:I$55))</f>
        <v/>
      </c>
      <c r="P14" s="15">
        <f>IF(K14=0,J14/MAX(J$5:J$55),(J14/MAX(J$5:J$55)+K14/MAX(K$5:K$55))/2)</f>
        <v/>
      </c>
      <c r="Q14" s="16">
        <f>Weights!$C$5*L14+Weights!$C$6*M14+Weights!$C$7*N14+Weights!$C$8*O14+Weights!$C$9*P14</f>
        <v/>
      </c>
      <c r="R14" s="4">
        <f>RANK(Q14,Q$5:Q$55)+COUNTIFS(Q$5:Q$55,Q14,C$5:C$55,"&gt;"&amp;C14)</f>
        <v/>
      </c>
      <c r="S14" s="2">
        <f>IF(R14&lt;=Weights!$C$12,"Yes","")</f>
        <v/>
      </c>
      <c r="T14" s="13" t="inlineStr">
        <is>
          <t>5 txns from customer 87; D20 (Legal Review, 60%) and D14; D19 was lost for lacking Autofill.</t>
        </is>
      </c>
    </row>
    <row r="15">
      <c r="A15" s="10" t="inlineStr">
        <is>
          <t>Arkansas</t>
        </is>
      </c>
      <c r="B15" s="10" t="inlineStr">
        <is>
          <t>AR</t>
        </is>
      </c>
      <c r="C15" s="11">
        <f>COUNTIF(Transactions!$B$2:$B$201,$A15)</f>
        <v/>
      </c>
      <c r="D15" s="11">
        <f>COUNTIFS(Transactions!$B$2:$B$201,$A15,Transactions!$D$2:$D$201,"New vehicle transaction")</f>
        <v/>
      </c>
      <c r="E15" s="11">
        <f>COUNTIFS(Transactions!$B$2:$B$201,$A15,Transactions!$D$2:$D$201,"Used vehicle transaction")</f>
        <v/>
      </c>
      <c r="F15" s="11">
        <f>COUNTIFS(Transactions!$B$2:$B$201,$A15,Transactions!$A$2:$A$201,Weights!$C$11)</f>
        <v/>
      </c>
      <c r="G15" s="10" t="n">
        <v>0</v>
      </c>
      <c r="H15" s="13" t="inlineStr"/>
      <c r="I15" s="14">
        <f>SUMIF('Pipeline Alloc'!$B$5:$B$201,$A15,'Pipeline Alloc'!$E$5:$E$201)</f>
        <v/>
      </c>
      <c r="J15" s="11">
        <f>INDEX('Market Data'!$C$2:$C$52,MATCH($A15,'Market Data'!$A$2:$A$52,0))</f>
        <v/>
      </c>
      <c r="K15" s="11">
        <f>INDEX('Market Data'!$D$2:$D$52,MATCH($A15,'Market Data'!$A$2:$A$52,0))</f>
        <v/>
      </c>
      <c r="L15" s="15">
        <f>IF(MAX(C$5:C$55)=0,0,C15/MAX(C$5:C$55))</f>
        <v/>
      </c>
      <c r="M15" s="15">
        <f>IF(MAX(F$5:F$55)=0,0,F15/MAX(F$5:F$55))</f>
        <v/>
      </c>
      <c r="N15" s="15">
        <f>G15</f>
        <v/>
      </c>
      <c r="O15" s="15">
        <f>IF(MAX(I$5:I$55)=0,0,I15/MAX(I$5:I$55))</f>
        <v/>
      </c>
      <c r="P15" s="15">
        <f>IF(K15=0,J15/MAX(J$5:J$55),(J15/MAX(J$5:J$55)+K15/MAX(K$5:K$55))/2)</f>
        <v/>
      </c>
      <c r="Q15" s="16">
        <f>Weights!$C$5*L15+Weights!$C$6*M15+Weights!$C$7*N15+Weights!$C$8*O15+Weights!$C$9*P15</f>
        <v/>
      </c>
      <c r="R15" s="4">
        <f>RANK(Q15,Q$5:Q$55)+COUNTIFS(Q$5:Q$55,Q15,C$5:C$55,"&gt;"&amp;C15)</f>
        <v/>
      </c>
      <c r="S15" s="2">
        <f>IF(R15&lt;=Weights!$C$12,"Yes","")</f>
        <v/>
      </c>
      <c r="T15" s="13" t="inlineStr">
        <is>
          <t>Bubble: 6 txns from customer 87 but a small market and no pipeline. First swap-in.</t>
        </is>
      </c>
    </row>
    <row r="16">
      <c r="A16" s="10" t="inlineStr">
        <is>
          <t>Illinois</t>
        </is>
      </c>
      <c r="B16" s="10" t="inlineStr">
        <is>
          <t>IL</t>
        </is>
      </c>
      <c r="C16" s="11">
        <f>COUNTIF(Transactions!$B$2:$B$201,$A16)</f>
        <v/>
      </c>
      <c r="D16" s="11">
        <f>COUNTIFS(Transactions!$B$2:$B$201,$A16,Transactions!$D$2:$D$201,"New vehicle transaction")</f>
        <v/>
      </c>
      <c r="E16" s="11">
        <f>COUNTIFS(Transactions!$B$2:$B$201,$A16,Transactions!$D$2:$D$201,"Used vehicle transaction")</f>
        <v/>
      </c>
      <c r="F16" s="11">
        <f>COUNTIFS(Transactions!$B$2:$B$201,$A16,Transactions!$A$2:$A$201,Weights!$C$11)</f>
        <v/>
      </c>
      <c r="G16" s="10" t="n">
        <v>0</v>
      </c>
      <c r="H16" s="13" t="inlineStr"/>
      <c r="I16" s="14">
        <f>SUMIF('Pipeline Alloc'!$B$5:$B$201,$A16,'Pipeline Alloc'!$E$5:$E$201)</f>
        <v/>
      </c>
      <c r="J16" s="11">
        <f>INDEX('Market Data'!$C$2:$C$52,MATCH($A16,'Market Data'!$A$2:$A$52,0))</f>
        <v/>
      </c>
      <c r="K16" s="11">
        <f>INDEX('Market Data'!$D$2:$D$52,MATCH($A16,'Market Data'!$A$2:$A$52,0))</f>
        <v/>
      </c>
      <c r="L16" s="15">
        <f>IF(MAX(C$5:C$55)=0,0,C16/MAX(C$5:C$55))</f>
        <v/>
      </c>
      <c r="M16" s="15">
        <f>IF(MAX(F$5:F$55)=0,0,F16/MAX(F$5:F$55))</f>
        <v/>
      </c>
      <c r="N16" s="15">
        <f>G16</f>
        <v/>
      </c>
      <c r="O16" s="15">
        <f>IF(MAX(I$5:I$55)=0,0,I16/MAX(I$5:I$55))</f>
        <v/>
      </c>
      <c r="P16" s="15">
        <f>IF(K16=0,J16/MAX(J$5:J$55),(J16/MAX(J$5:J$55)+K16/MAX(K$5:K$55))/2)</f>
        <v/>
      </c>
      <c r="Q16" s="16">
        <f>Weights!$C$5*L16+Weights!$C$6*M16+Weights!$C$7*N16+Weights!$C$8*O16+Weights!$C$9*P16</f>
        <v/>
      </c>
      <c r="R16" s="4">
        <f>RANK(Q16,Q$5:Q$55)+COUNTIFS(Q$5:Q$55,Q16,C$5:C$55,"&gt;"&amp;C16)</f>
        <v/>
      </c>
      <c r="S16" s="2">
        <f>IF(R16&lt;=Weights!$C$12,"Yes","")</f>
        <v/>
      </c>
      <c r="T16" s="13" t="inlineStr">
        <is>
          <t>Bubble: 5 txns from customer 87; only pipeline is D10, which is Audit only.</t>
        </is>
      </c>
    </row>
    <row r="17">
      <c r="A17" s="10" t="inlineStr">
        <is>
          <t>Indiana</t>
        </is>
      </c>
      <c r="B17" s="10" t="inlineStr">
        <is>
          <t>IN</t>
        </is>
      </c>
      <c r="C17" s="11">
        <f>COUNTIF(Transactions!$B$2:$B$201,$A17)</f>
        <v/>
      </c>
      <c r="D17" s="11">
        <f>COUNTIFS(Transactions!$B$2:$B$201,$A17,Transactions!$D$2:$D$201,"New vehicle transaction")</f>
        <v/>
      </c>
      <c r="E17" s="11">
        <f>COUNTIFS(Transactions!$B$2:$B$201,$A17,Transactions!$D$2:$D$201,"Used vehicle transaction")</f>
        <v/>
      </c>
      <c r="F17" s="11">
        <f>COUNTIFS(Transactions!$B$2:$B$201,$A17,Transactions!$A$2:$A$201,Weights!$C$11)</f>
        <v/>
      </c>
      <c r="G17" s="10" t="n">
        <v>0</v>
      </c>
      <c r="H17" s="13" t="inlineStr"/>
      <c r="I17" s="14">
        <f>SUMIF('Pipeline Alloc'!$B$5:$B$201,$A17,'Pipeline Alloc'!$E$5:$E$201)</f>
        <v/>
      </c>
      <c r="J17" s="11">
        <f>INDEX('Market Data'!$C$2:$C$52,MATCH($A17,'Market Data'!$A$2:$A$52,0))</f>
        <v/>
      </c>
      <c r="K17" s="11">
        <f>INDEX('Market Data'!$D$2:$D$52,MATCH($A17,'Market Data'!$A$2:$A$52,0))</f>
        <v/>
      </c>
      <c r="L17" s="15">
        <f>IF(MAX(C$5:C$55)=0,0,C17/MAX(C$5:C$55))</f>
        <v/>
      </c>
      <c r="M17" s="15">
        <f>IF(MAX(F$5:F$55)=0,0,F17/MAX(F$5:F$55))</f>
        <v/>
      </c>
      <c r="N17" s="15">
        <f>G17</f>
        <v/>
      </c>
      <c r="O17" s="15">
        <f>IF(MAX(I$5:I$55)=0,0,I17/MAX(I$5:I$55))</f>
        <v/>
      </c>
      <c r="P17" s="15">
        <f>IF(K17=0,J17/MAX(J$5:J$55),(J17/MAX(J$5:J$55)+K17/MAX(K$5:K$55))/2)</f>
        <v/>
      </c>
      <c r="Q17" s="16">
        <f>Weights!$C$5*L17+Weights!$C$6*M17+Weights!$C$7*N17+Weights!$C$8*O17+Weights!$C$9*P17</f>
        <v/>
      </c>
      <c r="R17" s="4">
        <f>RANK(Q17,Q$5:Q$55)+COUNTIFS(Q$5:Q$55,Q17,C$5:C$55,"&gt;"&amp;C17)</f>
        <v/>
      </c>
      <c r="S17" s="2">
        <f>IF(R17&lt;=Weights!$C$12,"Yes","")</f>
        <v/>
      </c>
      <c r="T17" s="13" t="inlineStr"/>
    </row>
    <row r="18">
      <c r="A18" s="10" t="inlineStr">
        <is>
          <t>New Jersey</t>
        </is>
      </c>
      <c r="B18" s="10" t="inlineStr">
        <is>
          <t>NJ</t>
        </is>
      </c>
      <c r="C18" s="11">
        <f>COUNTIF(Transactions!$B$2:$B$201,$A18)</f>
        <v/>
      </c>
      <c r="D18" s="11">
        <f>COUNTIFS(Transactions!$B$2:$B$201,$A18,Transactions!$D$2:$D$201,"New vehicle transaction")</f>
        <v/>
      </c>
      <c r="E18" s="11">
        <f>COUNTIFS(Transactions!$B$2:$B$201,$A18,Transactions!$D$2:$D$201,"Used vehicle transaction")</f>
        <v/>
      </c>
      <c r="F18" s="11">
        <f>COUNTIFS(Transactions!$B$2:$B$201,$A18,Transactions!$A$2:$A$201,Weights!$C$11)</f>
        <v/>
      </c>
      <c r="G18" s="10" t="n">
        <v>0</v>
      </c>
      <c r="H18" s="13" t="inlineStr"/>
      <c r="I18" s="14">
        <f>SUMIF('Pipeline Alloc'!$B$5:$B$201,$A18,'Pipeline Alloc'!$E$5:$E$201)</f>
        <v/>
      </c>
      <c r="J18" s="11">
        <f>INDEX('Market Data'!$C$2:$C$52,MATCH($A18,'Market Data'!$A$2:$A$52,0))</f>
        <v/>
      </c>
      <c r="K18" s="11">
        <f>INDEX('Market Data'!$D$2:$D$52,MATCH($A18,'Market Data'!$A$2:$A$52,0))</f>
        <v/>
      </c>
      <c r="L18" s="15">
        <f>IF(MAX(C$5:C$55)=0,0,C18/MAX(C$5:C$55))</f>
        <v/>
      </c>
      <c r="M18" s="15">
        <f>IF(MAX(F$5:F$55)=0,0,F18/MAX(F$5:F$55))</f>
        <v/>
      </c>
      <c r="N18" s="15">
        <f>G18</f>
        <v/>
      </c>
      <c r="O18" s="15">
        <f>IF(MAX(I$5:I$55)=0,0,I18/MAX(I$5:I$55))</f>
        <v/>
      </c>
      <c r="P18" s="15">
        <f>IF(K18=0,J18/MAX(J$5:J$55),(J18/MAX(J$5:J$55)+K18/MAX(K$5:K$55))/2)</f>
        <v/>
      </c>
      <c r="Q18" s="16">
        <f>Weights!$C$5*L18+Weights!$C$6*M18+Weights!$C$7*N18+Weights!$C$8*O18+Weights!$C$9*P18</f>
        <v/>
      </c>
      <c r="R18" s="4">
        <f>RANK(Q18,Q$5:Q$55)+COUNTIFS(Q$5:Q$55,Q18,C$5:C$55,"&gt;"&amp;C18)</f>
        <v/>
      </c>
      <c r="S18" s="2">
        <f>IF(R18&lt;=Weights!$C$12,"Yes","")</f>
        <v/>
      </c>
      <c r="T18" s="13" t="inlineStr"/>
    </row>
    <row r="19">
      <c r="A19" s="10" t="inlineStr">
        <is>
          <t>Nevada</t>
        </is>
      </c>
      <c r="B19" s="10" t="inlineStr">
        <is>
          <t>NV</t>
        </is>
      </c>
      <c r="C19" s="11">
        <f>COUNTIF(Transactions!$B$2:$B$201,$A19)</f>
        <v/>
      </c>
      <c r="D19" s="11">
        <f>COUNTIFS(Transactions!$B$2:$B$201,$A19,Transactions!$D$2:$D$201,"New vehicle transaction")</f>
        <v/>
      </c>
      <c r="E19" s="11">
        <f>COUNTIFS(Transactions!$B$2:$B$201,$A19,Transactions!$D$2:$D$201,"Used vehicle transaction")</f>
        <v/>
      </c>
      <c r="F19" s="11">
        <f>COUNTIFS(Transactions!$B$2:$B$201,$A19,Transactions!$A$2:$A$201,Weights!$C$11)</f>
        <v/>
      </c>
      <c r="G19" s="10" t="n">
        <v>0</v>
      </c>
      <c r="H19" s="13" t="inlineStr"/>
      <c r="I19" s="14">
        <f>SUMIF('Pipeline Alloc'!$B$5:$B$201,$A19,'Pipeline Alloc'!$E$5:$E$201)</f>
        <v/>
      </c>
      <c r="J19" s="11">
        <f>INDEX('Market Data'!$C$2:$C$52,MATCH($A19,'Market Data'!$A$2:$A$52,0))</f>
        <v/>
      </c>
      <c r="K19" s="11">
        <f>INDEX('Market Data'!$D$2:$D$52,MATCH($A19,'Market Data'!$A$2:$A$52,0))</f>
        <v/>
      </c>
      <c r="L19" s="15">
        <f>IF(MAX(C$5:C$55)=0,0,C19/MAX(C$5:C$55))</f>
        <v/>
      </c>
      <c r="M19" s="15">
        <f>IF(MAX(F$5:F$55)=0,0,F19/MAX(F$5:F$55))</f>
        <v/>
      </c>
      <c r="N19" s="15">
        <f>G19</f>
        <v/>
      </c>
      <c r="O19" s="15">
        <f>IF(MAX(I$5:I$55)=0,0,I19/MAX(I$5:I$55))</f>
        <v/>
      </c>
      <c r="P19" s="15">
        <f>IF(K19=0,J19/MAX(J$5:J$55),(J19/MAX(J$5:J$55)+K19/MAX(K$5:K$55))/2)</f>
        <v/>
      </c>
      <c r="Q19" s="16">
        <f>Weights!$C$5*L19+Weights!$C$6*M19+Weights!$C$7*N19+Weights!$C$8*O19+Weights!$C$9*P19</f>
        <v/>
      </c>
      <c r="R19" s="4">
        <f>RANK(Q19,Q$5:Q$55)+COUNTIFS(Q$5:Q$55,Q19,C$5:C$55,"&gt;"&amp;C19)</f>
        <v/>
      </c>
      <c r="S19" s="2">
        <f>IF(R19&lt;=Weights!$C$12,"Yes","")</f>
        <v/>
      </c>
      <c r="T19" s="13" t="inlineStr"/>
    </row>
    <row r="20">
      <c r="A20" s="10" t="inlineStr">
        <is>
          <t>Missouri</t>
        </is>
      </c>
      <c r="B20" s="10" t="inlineStr">
        <is>
          <t>MO</t>
        </is>
      </c>
      <c r="C20" s="11">
        <f>COUNTIF(Transactions!$B$2:$B$201,$A20)</f>
        <v/>
      </c>
      <c r="D20" s="11">
        <f>COUNTIFS(Transactions!$B$2:$B$201,$A20,Transactions!$D$2:$D$201,"New vehicle transaction")</f>
        <v/>
      </c>
      <c r="E20" s="11">
        <f>COUNTIFS(Transactions!$B$2:$B$201,$A20,Transactions!$D$2:$D$201,"Used vehicle transaction")</f>
        <v/>
      </c>
      <c r="F20" s="11">
        <f>COUNTIFS(Transactions!$B$2:$B$201,$A20,Transactions!$A$2:$A$201,Weights!$C$11)</f>
        <v/>
      </c>
      <c r="G20" s="10" t="n">
        <v>0</v>
      </c>
      <c r="H20" s="13" t="inlineStr"/>
      <c r="I20" s="14">
        <f>SUMIF('Pipeline Alloc'!$B$5:$B$201,$A20,'Pipeline Alloc'!$E$5:$E$201)</f>
        <v/>
      </c>
      <c r="J20" s="11">
        <f>INDEX('Market Data'!$C$2:$C$52,MATCH($A20,'Market Data'!$A$2:$A$52,0))</f>
        <v/>
      </c>
      <c r="K20" s="11">
        <f>INDEX('Market Data'!$D$2:$D$52,MATCH($A20,'Market Data'!$A$2:$A$52,0))</f>
        <v/>
      </c>
      <c r="L20" s="15">
        <f>IF(MAX(C$5:C$55)=0,0,C20/MAX(C$5:C$55))</f>
        <v/>
      </c>
      <c r="M20" s="15">
        <f>IF(MAX(F$5:F$55)=0,0,F20/MAX(F$5:F$55))</f>
        <v/>
      </c>
      <c r="N20" s="15">
        <f>G20</f>
        <v/>
      </c>
      <c r="O20" s="15">
        <f>IF(MAX(I$5:I$55)=0,0,I20/MAX(I$5:I$55))</f>
        <v/>
      </c>
      <c r="P20" s="15">
        <f>IF(K20=0,J20/MAX(J$5:J$55),(J20/MAX(J$5:J$55)+K20/MAX(K$5:K$55))/2)</f>
        <v/>
      </c>
      <c r="Q20" s="16">
        <f>Weights!$C$5*L20+Weights!$C$6*M20+Weights!$C$7*N20+Weights!$C$8*O20+Weights!$C$9*P20</f>
        <v/>
      </c>
      <c r="R20" s="4">
        <f>RANK(Q20,Q$5:Q$55)+COUNTIFS(Q$5:Q$55,Q20,C$5:C$55,"&gt;"&amp;C20)</f>
        <v/>
      </c>
      <c r="S20" s="2">
        <f>IF(R20&lt;=Weights!$C$12,"Yes","")</f>
        <v/>
      </c>
      <c r="T20" s="13" t="inlineStr"/>
    </row>
    <row r="21">
      <c r="A21" s="10" t="inlineStr">
        <is>
          <t>New York</t>
        </is>
      </c>
      <c r="B21" s="10" t="inlineStr">
        <is>
          <t>NY</t>
        </is>
      </c>
      <c r="C21" s="11">
        <f>COUNTIF(Transactions!$B$2:$B$201,$A21)</f>
        <v/>
      </c>
      <c r="D21" s="11">
        <f>COUNTIFS(Transactions!$B$2:$B$201,$A21,Transactions!$D$2:$D$201,"New vehicle transaction")</f>
        <v/>
      </c>
      <c r="E21" s="11">
        <f>COUNTIFS(Transactions!$B$2:$B$201,$A21,Transactions!$D$2:$D$201,"Used vehicle transaction")</f>
        <v/>
      </c>
      <c r="F21" s="11">
        <f>COUNTIFS(Transactions!$B$2:$B$201,$A21,Transactions!$A$2:$A$201,Weights!$C$11)</f>
        <v/>
      </c>
      <c r="G21" s="10" t="n">
        <v>0</v>
      </c>
      <c r="H21" s="13" t="inlineStr"/>
      <c r="I21" s="14">
        <f>SUMIF('Pipeline Alloc'!$B$5:$B$201,$A21,'Pipeline Alloc'!$E$5:$E$201)</f>
        <v/>
      </c>
      <c r="J21" s="11">
        <f>INDEX('Market Data'!$C$2:$C$52,MATCH($A21,'Market Data'!$A$2:$A$52,0))</f>
        <v/>
      </c>
      <c r="K21" s="11">
        <f>INDEX('Market Data'!$D$2:$D$52,MATCH($A21,'Market Data'!$A$2:$A$52,0))</f>
        <v/>
      </c>
      <c r="L21" s="15">
        <f>IF(MAX(C$5:C$55)=0,0,C21/MAX(C$5:C$55))</f>
        <v/>
      </c>
      <c r="M21" s="15">
        <f>IF(MAX(F$5:F$55)=0,0,F21/MAX(F$5:F$55))</f>
        <v/>
      </c>
      <c r="N21" s="15">
        <f>G21</f>
        <v/>
      </c>
      <c r="O21" s="15">
        <f>IF(MAX(I$5:I$55)=0,0,I21/MAX(I$5:I$55))</f>
        <v/>
      </c>
      <c r="P21" s="15">
        <f>IF(K21=0,J21/MAX(J$5:J$55),(J21/MAX(J$5:J$55)+K21/MAX(K$5:K$55))/2)</f>
        <v/>
      </c>
      <c r="Q21" s="16">
        <f>Weights!$C$5*L21+Weights!$C$6*M21+Weights!$C$7*N21+Weights!$C$8*O21+Weights!$C$9*P21</f>
        <v/>
      </c>
      <c r="R21" s="4">
        <f>RANK(Q21,Q$5:Q$55)+COUNTIFS(Q$5:Q$55,Q21,C$5:C$55,"&gt;"&amp;C21)</f>
        <v/>
      </c>
      <c r="S21" s="2">
        <f>IF(R21&lt;=Weights!$C$12,"Yes","")</f>
        <v/>
      </c>
      <c r="T21" s="13" t="inlineStr"/>
    </row>
    <row r="22">
      <c r="A22" s="10" t="inlineStr">
        <is>
          <t>New Hampshire</t>
        </is>
      </c>
      <c r="B22" s="10" t="inlineStr">
        <is>
          <t>NH</t>
        </is>
      </c>
      <c r="C22" s="11">
        <f>COUNTIF(Transactions!$B$2:$B$201,$A22)</f>
        <v/>
      </c>
      <c r="D22" s="11">
        <f>COUNTIFS(Transactions!$B$2:$B$201,$A22,Transactions!$D$2:$D$201,"New vehicle transaction")</f>
        <v/>
      </c>
      <c r="E22" s="11">
        <f>COUNTIFS(Transactions!$B$2:$B$201,$A22,Transactions!$D$2:$D$201,"Used vehicle transaction")</f>
        <v/>
      </c>
      <c r="F22" s="11">
        <f>COUNTIFS(Transactions!$B$2:$B$201,$A22,Transactions!$A$2:$A$201,Weights!$C$11)</f>
        <v/>
      </c>
      <c r="G22" s="10" t="n">
        <v>0</v>
      </c>
      <c r="H22" s="13" t="inlineStr"/>
      <c r="I22" s="14">
        <f>SUMIF('Pipeline Alloc'!$B$5:$B$201,$A22,'Pipeline Alloc'!$E$5:$E$201)</f>
        <v/>
      </c>
      <c r="J22" s="11">
        <f>INDEX('Market Data'!$C$2:$C$52,MATCH($A22,'Market Data'!$A$2:$A$52,0))</f>
        <v/>
      </c>
      <c r="K22" s="11">
        <f>INDEX('Market Data'!$D$2:$D$52,MATCH($A22,'Market Data'!$A$2:$A$52,0))</f>
        <v/>
      </c>
      <c r="L22" s="15">
        <f>IF(MAX(C$5:C$55)=0,0,C22/MAX(C$5:C$55))</f>
        <v/>
      </c>
      <c r="M22" s="15">
        <f>IF(MAX(F$5:F$55)=0,0,F22/MAX(F$5:F$55))</f>
        <v/>
      </c>
      <c r="N22" s="15">
        <f>G22</f>
        <v/>
      </c>
      <c r="O22" s="15">
        <f>IF(MAX(I$5:I$55)=0,0,I22/MAX(I$5:I$55))</f>
        <v/>
      </c>
      <c r="P22" s="15">
        <f>IF(K22=0,J22/MAX(J$5:J$55),(J22/MAX(J$5:J$55)+K22/MAX(K$5:K$55))/2)</f>
        <v/>
      </c>
      <c r="Q22" s="16">
        <f>Weights!$C$5*L22+Weights!$C$6*M22+Weights!$C$7*N22+Weights!$C$8*O22+Weights!$C$9*P22</f>
        <v/>
      </c>
      <c r="R22" s="4">
        <f>RANK(Q22,Q$5:Q$55)+COUNTIFS(Q$5:Q$55,Q22,C$5:C$55,"&gt;"&amp;C22)</f>
        <v/>
      </c>
      <c r="S22" s="2">
        <f>IF(R22&lt;=Weights!$C$12,"Yes","")</f>
        <v/>
      </c>
      <c r="T22" s="13" t="inlineStr"/>
    </row>
    <row r="23">
      <c r="A23" s="10" t="inlineStr">
        <is>
          <t>Maryland</t>
        </is>
      </c>
      <c r="B23" s="10" t="inlineStr">
        <is>
          <t>MD</t>
        </is>
      </c>
      <c r="C23" s="11">
        <f>COUNTIF(Transactions!$B$2:$B$201,$A23)</f>
        <v/>
      </c>
      <c r="D23" s="11">
        <f>COUNTIFS(Transactions!$B$2:$B$201,$A23,Transactions!$D$2:$D$201,"New vehicle transaction")</f>
        <v/>
      </c>
      <c r="E23" s="11">
        <f>COUNTIFS(Transactions!$B$2:$B$201,$A23,Transactions!$D$2:$D$201,"Used vehicle transaction")</f>
        <v/>
      </c>
      <c r="F23" s="11">
        <f>COUNTIFS(Transactions!$B$2:$B$201,$A23,Transactions!$A$2:$A$201,Weights!$C$11)</f>
        <v/>
      </c>
      <c r="G23" s="10" t="n">
        <v>0</v>
      </c>
      <c r="H23" s="13" t="inlineStr"/>
      <c r="I23" s="14">
        <f>SUMIF('Pipeline Alloc'!$B$5:$B$201,$A23,'Pipeline Alloc'!$E$5:$E$201)</f>
        <v/>
      </c>
      <c r="J23" s="11">
        <f>INDEX('Market Data'!$C$2:$C$52,MATCH($A23,'Market Data'!$A$2:$A$52,0))</f>
        <v/>
      </c>
      <c r="K23" s="11">
        <f>INDEX('Market Data'!$D$2:$D$52,MATCH($A23,'Market Data'!$A$2:$A$52,0))</f>
        <v/>
      </c>
      <c r="L23" s="15">
        <f>IF(MAX(C$5:C$55)=0,0,C23/MAX(C$5:C$55))</f>
        <v/>
      </c>
      <c r="M23" s="15">
        <f>IF(MAX(F$5:F$55)=0,0,F23/MAX(F$5:F$55))</f>
        <v/>
      </c>
      <c r="N23" s="15">
        <f>G23</f>
        <v/>
      </c>
      <c r="O23" s="15">
        <f>IF(MAX(I$5:I$55)=0,0,I23/MAX(I$5:I$55))</f>
        <v/>
      </c>
      <c r="P23" s="15">
        <f>IF(K23=0,J23/MAX(J$5:J$55),(J23/MAX(J$5:J$55)+K23/MAX(K$5:K$55))/2)</f>
        <v/>
      </c>
      <c r="Q23" s="16">
        <f>Weights!$C$5*L23+Weights!$C$6*M23+Weights!$C$7*N23+Weights!$C$8*O23+Weights!$C$9*P23</f>
        <v/>
      </c>
      <c r="R23" s="4">
        <f>RANK(Q23,Q$5:Q$55)+COUNTIFS(Q$5:Q$55,Q23,C$5:C$55,"&gt;"&amp;C23)</f>
        <v/>
      </c>
      <c r="S23" s="2">
        <f>IF(R23&lt;=Weights!$C$12,"Yes","")</f>
        <v/>
      </c>
      <c r="T23" s="13" t="inlineStr"/>
    </row>
    <row r="24">
      <c r="A24" s="10" t="inlineStr">
        <is>
          <t>South Carolina</t>
        </is>
      </c>
      <c r="B24" s="10" t="inlineStr">
        <is>
          <t>SC</t>
        </is>
      </c>
      <c r="C24" s="11">
        <f>COUNTIF(Transactions!$B$2:$B$201,$A24)</f>
        <v/>
      </c>
      <c r="D24" s="11">
        <f>COUNTIFS(Transactions!$B$2:$B$201,$A24,Transactions!$D$2:$D$201,"New vehicle transaction")</f>
        <v/>
      </c>
      <c r="E24" s="11">
        <f>COUNTIFS(Transactions!$B$2:$B$201,$A24,Transactions!$D$2:$D$201,"Used vehicle transaction")</f>
        <v/>
      </c>
      <c r="F24" s="11">
        <f>COUNTIFS(Transactions!$B$2:$B$201,$A24,Transactions!$A$2:$A$201,Weights!$C$11)</f>
        <v/>
      </c>
      <c r="G24" s="10" t="n">
        <v>0</v>
      </c>
      <c r="H24" s="13" t="inlineStr"/>
      <c r="I24" s="14">
        <f>SUMIF('Pipeline Alloc'!$B$5:$B$201,$A24,'Pipeline Alloc'!$E$5:$E$201)</f>
        <v/>
      </c>
      <c r="J24" s="11">
        <f>INDEX('Market Data'!$C$2:$C$52,MATCH($A24,'Market Data'!$A$2:$A$52,0))</f>
        <v/>
      </c>
      <c r="K24" s="11">
        <f>INDEX('Market Data'!$D$2:$D$52,MATCH($A24,'Market Data'!$A$2:$A$52,0))</f>
        <v/>
      </c>
      <c r="L24" s="15">
        <f>IF(MAX(C$5:C$55)=0,0,C24/MAX(C$5:C$55))</f>
        <v/>
      </c>
      <c r="M24" s="15">
        <f>IF(MAX(F$5:F$55)=0,0,F24/MAX(F$5:F$55))</f>
        <v/>
      </c>
      <c r="N24" s="15">
        <f>G24</f>
        <v/>
      </c>
      <c r="O24" s="15">
        <f>IF(MAX(I$5:I$55)=0,0,I24/MAX(I$5:I$55))</f>
        <v/>
      </c>
      <c r="P24" s="15">
        <f>IF(K24=0,J24/MAX(J$5:J$55),(J24/MAX(J$5:J$55)+K24/MAX(K$5:K$55))/2)</f>
        <v/>
      </c>
      <c r="Q24" s="16">
        <f>Weights!$C$5*L24+Weights!$C$6*M24+Weights!$C$7*N24+Weights!$C$8*O24+Weights!$C$9*P24</f>
        <v/>
      </c>
      <c r="R24" s="4">
        <f>RANK(Q24,Q$5:Q$55)+COUNTIFS(Q$5:Q$55,Q24,C$5:C$55,"&gt;"&amp;C24)</f>
        <v/>
      </c>
      <c r="S24" s="2">
        <f>IF(R24&lt;=Weights!$C$12,"Yes","")</f>
        <v/>
      </c>
      <c r="T24" s="13" t="inlineStr"/>
    </row>
    <row r="25">
      <c r="A25" s="10" t="inlineStr">
        <is>
          <t>Louisiana</t>
        </is>
      </c>
      <c r="B25" s="10" t="inlineStr">
        <is>
          <t>LA</t>
        </is>
      </c>
      <c r="C25" s="11">
        <f>COUNTIF(Transactions!$B$2:$B$201,$A25)</f>
        <v/>
      </c>
      <c r="D25" s="11">
        <f>COUNTIFS(Transactions!$B$2:$B$201,$A25,Transactions!$D$2:$D$201,"New vehicle transaction")</f>
        <v/>
      </c>
      <c r="E25" s="11">
        <f>COUNTIFS(Transactions!$B$2:$B$201,$A25,Transactions!$D$2:$D$201,"Used vehicle transaction")</f>
        <v/>
      </c>
      <c r="F25" s="11">
        <f>COUNTIFS(Transactions!$B$2:$B$201,$A25,Transactions!$A$2:$A$201,Weights!$C$11)</f>
        <v/>
      </c>
      <c r="G25" s="10" t="n">
        <v>0</v>
      </c>
      <c r="H25" s="13" t="inlineStr"/>
      <c r="I25" s="14">
        <f>SUMIF('Pipeline Alloc'!$B$5:$B$201,$A25,'Pipeline Alloc'!$E$5:$E$201)</f>
        <v/>
      </c>
      <c r="J25" s="11">
        <f>INDEX('Market Data'!$C$2:$C$52,MATCH($A25,'Market Data'!$A$2:$A$52,0))</f>
        <v/>
      </c>
      <c r="K25" s="11">
        <f>INDEX('Market Data'!$D$2:$D$52,MATCH($A25,'Market Data'!$A$2:$A$52,0))</f>
        <v/>
      </c>
      <c r="L25" s="15">
        <f>IF(MAX(C$5:C$55)=0,0,C25/MAX(C$5:C$55))</f>
        <v/>
      </c>
      <c r="M25" s="15">
        <f>IF(MAX(F$5:F$55)=0,0,F25/MAX(F$5:F$55))</f>
        <v/>
      </c>
      <c r="N25" s="15">
        <f>G25</f>
        <v/>
      </c>
      <c r="O25" s="15">
        <f>IF(MAX(I$5:I$55)=0,0,I25/MAX(I$5:I$55))</f>
        <v/>
      </c>
      <c r="P25" s="15">
        <f>IF(K25=0,J25/MAX(J$5:J$55),(J25/MAX(J$5:J$55)+K25/MAX(K$5:K$55))/2)</f>
        <v/>
      </c>
      <c r="Q25" s="16">
        <f>Weights!$C$5*L25+Weights!$C$6*M25+Weights!$C$7*N25+Weights!$C$8*O25+Weights!$C$9*P25</f>
        <v/>
      </c>
      <c r="R25" s="4">
        <f>RANK(Q25,Q$5:Q$55)+COUNTIFS(Q$5:Q$55,Q25,C$5:C$55,"&gt;"&amp;C25)</f>
        <v/>
      </c>
      <c r="S25" s="2">
        <f>IF(R25&lt;=Weights!$C$12,"Yes","")</f>
        <v/>
      </c>
      <c r="T25" s="13" t="inlineStr"/>
    </row>
    <row r="26">
      <c r="A26" s="10" t="inlineStr">
        <is>
          <t>Kentucky</t>
        </is>
      </c>
      <c r="B26" s="10" t="inlineStr">
        <is>
          <t>KY</t>
        </is>
      </c>
      <c r="C26" s="11">
        <f>COUNTIF(Transactions!$B$2:$B$201,$A26)</f>
        <v/>
      </c>
      <c r="D26" s="11">
        <f>COUNTIFS(Transactions!$B$2:$B$201,$A26,Transactions!$D$2:$D$201,"New vehicle transaction")</f>
        <v/>
      </c>
      <c r="E26" s="11">
        <f>COUNTIFS(Transactions!$B$2:$B$201,$A26,Transactions!$D$2:$D$201,"Used vehicle transaction")</f>
        <v/>
      </c>
      <c r="F26" s="11">
        <f>COUNTIFS(Transactions!$B$2:$B$201,$A26,Transactions!$A$2:$A$201,Weights!$C$11)</f>
        <v/>
      </c>
      <c r="G26" s="10" t="n">
        <v>0</v>
      </c>
      <c r="H26" s="13" t="inlineStr"/>
      <c r="I26" s="14">
        <f>SUMIF('Pipeline Alloc'!$B$5:$B$201,$A26,'Pipeline Alloc'!$E$5:$E$201)</f>
        <v/>
      </c>
      <c r="J26" s="11">
        <f>INDEX('Market Data'!$C$2:$C$52,MATCH($A26,'Market Data'!$A$2:$A$52,0))</f>
        <v/>
      </c>
      <c r="K26" s="11">
        <f>INDEX('Market Data'!$D$2:$D$52,MATCH($A26,'Market Data'!$A$2:$A$52,0))</f>
        <v/>
      </c>
      <c r="L26" s="15">
        <f>IF(MAX(C$5:C$55)=0,0,C26/MAX(C$5:C$55))</f>
        <v/>
      </c>
      <c r="M26" s="15">
        <f>IF(MAX(F$5:F$55)=0,0,F26/MAX(F$5:F$55))</f>
        <v/>
      </c>
      <c r="N26" s="15">
        <f>G26</f>
        <v/>
      </c>
      <c r="O26" s="15">
        <f>IF(MAX(I$5:I$55)=0,0,I26/MAX(I$5:I$55))</f>
        <v/>
      </c>
      <c r="P26" s="15">
        <f>IF(K26=0,J26/MAX(J$5:J$55),(J26/MAX(J$5:J$55)+K26/MAX(K$5:K$55))/2)</f>
        <v/>
      </c>
      <c r="Q26" s="16">
        <f>Weights!$C$5*L26+Weights!$C$6*M26+Weights!$C$7*N26+Weights!$C$8*O26+Weights!$C$9*P26</f>
        <v/>
      </c>
      <c r="R26" s="4">
        <f>RANK(Q26,Q$5:Q$55)+COUNTIFS(Q$5:Q$55,Q26,C$5:C$55,"&gt;"&amp;C26)</f>
        <v/>
      </c>
      <c r="S26" s="2">
        <f>IF(R26&lt;=Weights!$C$12,"Yes","")</f>
        <v/>
      </c>
      <c r="T26" s="13" t="inlineStr"/>
    </row>
    <row r="27">
      <c r="A27" s="10" t="inlineStr">
        <is>
          <t>West Virginia</t>
        </is>
      </c>
      <c r="B27" s="10" t="inlineStr">
        <is>
          <t>WV</t>
        </is>
      </c>
      <c r="C27" s="11">
        <f>COUNTIF(Transactions!$B$2:$B$201,$A27)</f>
        <v/>
      </c>
      <c r="D27" s="11">
        <f>COUNTIFS(Transactions!$B$2:$B$201,$A27,Transactions!$D$2:$D$201,"New vehicle transaction")</f>
        <v/>
      </c>
      <c r="E27" s="11">
        <f>COUNTIFS(Transactions!$B$2:$B$201,$A27,Transactions!$D$2:$D$201,"Used vehicle transaction")</f>
        <v/>
      </c>
      <c r="F27" s="11">
        <f>COUNTIFS(Transactions!$B$2:$B$201,$A27,Transactions!$A$2:$A$201,Weights!$C$11)</f>
        <v/>
      </c>
      <c r="G27" s="10" t="n">
        <v>0</v>
      </c>
      <c r="H27" s="13" t="inlineStr"/>
      <c r="I27" s="14">
        <f>SUMIF('Pipeline Alloc'!$B$5:$B$201,$A27,'Pipeline Alloc'!$E$5:$E$201)</f>
        <v/>
      </c>
      <c r="J27" s="11">
        <f>INDEX('Market Data'!$C$2:$C$52,MATCH($A27,'Market Data'!$A$2:$A$52,0))</f>
        <v/>
      </c>
      <c r="K27" s="11">
        <f>INDEX('Market Data'!$D$2:$D$52,MATCH($A27,'Market Data'!$A$2:$A$52,0))</f>
        <v/>
      </c>
      <c r="L27" s="15">
        <f>IF(MAX(C$5:C$55)=0,0,C27/MAX(C$5:C$55))</f>
        <v/>
      </c>
      <c r="M27" s="15">
        <f>IF(MAX(F$5:F$55)=0,0,F27/MAX(F$5:F$55))</f>
        <v/>
      </c>
      <c r="N27" s="15">
        <f>G27</f>
        <v/>
      </c>
      <c r="O27" s="15">
        <f>IF(MAX(I$5:I$55)=0,0,I27/MAX(I$5:I$55))</f>
        <v/>
      </c>
      <c r="P27" s="15">
        <f>IF(K27=0,J27/MAX(J$5:J$55),(J27/MAX(J$5:J$55)+K27/MAX(K$5:K$55))/2)</f>
        <v/>
      </c>
      <c r="Q27" s="16">
        <f>Weights!$C$5*L27+Weights!$C$6*M27+Weights!$C$7*N27+Weights!$C$8*O27+Weights!$C$9*P27</f>
        <v/>
      </c>
      <c r="R27" s="4">
        <f>RANK(Q27,Q$5:Q$55)+COUNTIFS(Q$5:Q$55,Q27,C$5:C$55,"&gt;"&amp;C27)</f>
        <v/>
      </c>
      <c r="S27" s="2">
        <f>IF(R27&lt;=Weights!$C$12,"Yes","")</f>
        <v/>
      </c>
      <c r="T27" s="13" t="inlineStr"/>
    </row>
    <row r="28">
      <c r="A28" s="10" t="inlineStr">
        <is>
          <t>Maine</t>
        </is>
      </c>
      <c r="B28" s="10" t="inlineStr">
        <is>
          <t>ME</t>
        </is>
      </c>
      <c r="C28" s="11">
        <f>COUNTIF(Transactions!$B$2:$B$201,$A28)</f>
        <v/>
      </c>
      <c r="D28" s="11">
        <f>COUNTIFS(Transactions!$B$2:$B$201,$A28,Transactions!$D$2:$D$201,"New vehicle transaction")</f>
        <v/>
      </c>
      <c r="E28" s="11">
        <f>COUNTIFS(Transactions!$B$2:$B$201,$A28,Transactions!$D$2:$D$201,"Used vehicle transaction")</f>
        <v/>
      </c>
      <c r="F28" s="11">
        <f>COUNTIFS(Transactions!$B$2:$B$201,$A28,Transactions!$A$2:$A$201,Weights!$C$11)</f>
        <v/>
      </c>
      <c r="G28" s="10" t="n">
        <v>0</v>
      </c>
      <c r="H28" s="13" t="inlineStr"/>
      <c r="I28" s="14">
        <f>SUMIF('Pipeline Alloc'!$B$5:$B$201,$A28,'Pipeline Alloc'!$E$5:$E$201)</f>
        <v/>
      </c>
      <c r="J28" s="11">
        <f>INDEX('Market Data'!$C$2:$C$52,MATCH($A28,'Market Data'!$A$2:$A$52,0))</f>
        <v/>
      </c>
      <c r="K28" s="11">
        <f>INDEX('Market Data'!$D$2:$D$52,MATCH($A28,'Market Data'!$A$2:$A$52,0))</f>
        <v/>
      </c>
      <c r="L28" s="15">
        <f>IF(MAX(C$5:C$55)=0,0,C28/MAX(C$5:C$55))</f>
        <v/>
      </c>
      <c r="M28" s="15">
        <f>IF(MAX(F$5:F$55)=0,0,F28/MAX(F$5:F$55))</f>
        <v/>
      </c>
      <c r="N28" s="15">
        <f>G28</f>
        <v/>
      </c>
      <c r="O28" s="15">
        <f>IF(MAX(I$5:I$55)=0,0,I28/MAX(I$5:I$55))</f>
        <v/>
      </c>
      <c r="P28" s="15">
        <f>IF(K28=0,J28/MAX(J$5:J$55),(J28/MAX(J$5:J$55)+K28/MAX(K$5:K$55))/2)</f>
        <v/>
      </c>
      <c r="Q28" s="16">
        <f>Weights!$C$5*L28+Weights!$C$6*M28+Weights!$C$7*N28+Weights!$C$8*O28+Weights!$C$9*P28</f>
        <v/>
      </c>
      <c r="R28" s="4">
        <f>RANK(Q28,Q$5:Q$55)+COUNTIFS(Q$5:Q$55,Q28,C$5:C$55,"&gt;"&amp;C28)</f>
        <v/>
      </c>
      <c r="S28" s="2">
        <f>IF(R28&lt;=Weights!$C$12,"Yes","")</f>
        <v/>
      </c>
      <c r="T28" s="13" t="inlineStr"/>
    </row>
    <row r="29">
      <c r="A29" s="10" t="inlineStr">
        <is>
          <t>Ohio</t>
        </is>
      </c>
      <c r="B29" s="10" t="inlineStr">
        <is>
          <t>OH</t>
        </is>
      </c>
      <c r="C29" s="11">
        <f>COUNTIF(Transactions!$B$2:$B$201,$A29)</f>
        <v/>
      </c>
      <c r="D29" s="11">
        <f>COUNTIFS(Transactions!$B$2:$B$201,$A29,Transactions!$D$2:$D$201,"New vehicle transaction")</f>
        <v/>
      </c>
      <c r="E29" s="11">
        <f>COUNTIFS(Transactions!$B$2:$B$201,$A29,Transactions!$D$2:$D$201,"Used vehicle transaction")</f>
        <v/>
      </c>
      <c r="F29" s="11">
        <f>COUNTIFS(Transactions!$B$2:$B$201,$A29,Transactions!$A$2:$A$201,Weights!$C$11)</f>
        <v/>
      </c>
      <c r="G29" s="10" t="n">
        <v>0</v>
      </c>
      <c r="H29" s="13" t="inlineStr"/>
      <c r="I29" s="14">
        <f>SUMIF('Pipeline Alloc'!$B$5:$B$201,$A29,'Pipeline Alloc'!$E$5:$E$201)</f>
        <v/>
      </c>
      <c r="J29" s="11">
        <f>INDEX('Market Data'!$C$2:$C$52,MATCH($A29,'Market Data'!$A$2:$A$52,0))</f>
        <v/>
      </c>
      <c r="K29" s="11">
        <f>INDEX('Market Data'!$D$2:$D$52,MATCH($A29,'Market Data'!$A$2:$A$52,0))</f>
        <v/>
      </c>
      <c r="L29" s="15">
        <f>IF(MAX(C$5:C$55)=0,0,C29/MAX(C$5:C$55))</f>
        <v/>
      </c>
      <c r="M29" s="15">
        <f>IF(MAX(F$5:F$55)=0,0,F29/MAX(F$5:F$55))</f>
        <v/>
      </c>
      <c r="N29" s="15">
        <f>G29</f>
        <v/>
      </c>
      <c r="O29" s="15">
        <f>IF(MAX(I$5:I$55)=0,0,I29/MAX(I$5:I$55))</f>
        <v/>
      </c>
      <c r="P29" s="15">
        <f>IF(K29=0,J29/MAX(J$5:J$55),(J29/MAX(J$5:J$55)+K29/MAX(K$5:K$55))/2)</f>
        <v/>
      </c>
      <c r="Q29" s="16">
        <f>Weights!$C$5*L29+Weights!$C$6*M29+Weights!$C$7*N29+Weights!$C$8*O29+Weights!$C$9*P29</f>
        <v/>
      </c>
      <c r="R29" s="4">
        <f>RANK(Q29,Q$5:Q$55)+COUNTIFS(Q$5:Q$55,Q29,C$5:C$55,"&gt;"&amp;C29)</f>
        <v/>
      </c>
      <c r="S29" s="2">
        <f>IF(R29&lt;=Weights!$C$12,"Yes","")</f>
        <v/>
      </c>
      <c r="T29" s="13" t="inlineStr"/>
    </row>
    <row r="30">
      <c r="A30" s="10" t="inlineStr">
        <is>
          <t>North Carolina</t>
        </is>
      </c>
      <c r="B30" s="10" t="inlineStr">
        <is>
          <t>NC</t>
        </is>
      </c>
      <c r="C30" s="11">
        <f>COUNTIF(Transactions!$B$2:$B$201,$A30)</f>
        <v/>
      </c>
      <c r="D30" s="11">
        <f>COUNTIFS(Transactions!$B$2:$B$201,$A30,Transactions!$D$2:$D$201,"New vehicle transaction")</f>
        <v/>
      </c>
      <c r="E30" s="11">
        <f>COUNTIFS(Transactions!$B$2:$B$201,$A30,Transactions!$D$2:$D$201,"Used vehicle transaction")</f>
        <v/>
      </c>
      <c r="F30" s="11">
        <f>COUNTIFS(Transactions!$B$2:$B$201,$A30,Transactions!$A$2:$A$201,Weights!$C$11)</f>
        <v/>
      </c>
      <c r="G30" s="10" t="n">
        <v>0</v>
      </c>
      <c r="H30" s="13" t="inlineStr"/>
      <c r="I30" s="14">
        <f>SUMIF('Pipeline Alloc'!$B$5:$B$201,$A30,'Pipeline Alloc'!$E$5:$E$201)</f>
        <v/>
      </c>
      <c r="J30" s="11">
        <f>INDEX('Market Data'!$C$2:$C$52,MATCH($A30,'Market Data'!$A$2:$A$52,0))</f>
        <v/>
      </c>
      <c r="K30" s="11">
        <f>INDEX('Market Data'!$D$2:$D$52,MATCH($A30,'Market Data'!$A$2:$A$52,0))</f>
        <v/>
      </c>
      <c r="L30" s="15">
        <f>IF(MAX(C$5:C$55)=0,0,C30/MAX(C$5:C$55))</f>
        <v/>
      </c>
      <c r="M30" s="15">
        <f>IF(MAX(F$5:F$55)=0,0,F30/MAX(F$5:F$55))</f>
        <v/>
      </c>
      <c r="N30" s="15">
        <f>G30</f>
        <v/>
      </c>
      <c r="O30" s="15">
        <f>IF(MAX(I$5:I$55)=0,0,I30/MAX(I$5:I$55))</f>
        <v/>
      </c>
      <c r="P30" s="15">
        <f>IF(K30=0,J30/MAX(J$5:J$55),(J30/MAX(J$5:J$55)+K30/MAX(K$5:K$55))/2)</f>
        <v/>
      </c>
      <c r="Q30" s="16">
        <f>Weights!$C$5*L30+Weights!$C$6*M30+Weights!$C$7*N30+Weights!$C$8*O30+Weights!$C$9*P30</f>
        <v/>
      </c>
      <c r="R30" s="4">
        <f>RANK(Q30,Q$5:Q$55)+COUNTIFS(Q$5:Q$55,Q30,C$5:C$55,"&gt;"&amp;C30)</f>
        <v/>
      </c>
      <c r="S30" s="2">
        <f>IF(R30&lt;=Weights!$C$12,"Yes","")</f>
        <v/>
      </c>
      <c r="T30" s="13" t="inlineStr"/>
    </row>
    <row r="31">
      <c r="A31" s="10" t="inlineStr">
        <is>
          <t>Oklahoma</t>
        </is>
      </c>
      <c r="B31" s="10" t="inlineStr">
        <is>
          <t>OK</t>
        </is>
      </c>
      <c r="C31" s="11">
        <f>COUNTIF(Transactions!$B$2:$B$201,$A31)</f>
        <v/>
      </c>
      <c r="D31" s="11">
        <f>COUNTIFS(Transactions!$B$2:$B$201,$A31,Transactions!$D$2:$D$201,"New vehicle transaction")</f>
        <v/>
      </c>
      <c r="E31" s="11">
        <f>COUNTIFS(Transactions!$B$2:$B$201,$A31,Transactions!$D$2:$D$201,"Used vehicle transaction")</f>
        <v/>
      </c>
      <c r="F31" s="11">
        <f>COUNTIFS(Transactions!$B$2:$B$201,$A31,Transactions!$A$2:$A$201,Weights!$C$11)</f>
        <v/>
      </c>
      <c r="G31" s="10" t="n">
        <v>0</v>
      </c>
      <c r="H31" s="13" t="inlineStr"/>
      <c r="I31" s="14">
        <f>SUMIF('Pipeline Alloc'!$B$5:$B$201,$A31,'Pipeline Alloc'!$E$5:$E$201)</f>
        <v/>
      </c>
      <c r="J31" s="11">
        <f>INDEX('Market Data'!$C$2:$C$52,MATCH($A31,'Market Data'!$A$2:$A$52,0))</f>
        <v/>
      </c>
      <c r="K31" s="11">
        <f>INDEX('Market Data'!$D$2:$D$52,MATCH($A31,'Market Data'!$A$2:$A$52,0))</f>
        <v/>
      </c>
      <c r="L31" s="15">
        <f>IF(MAX(C$5:C$55)=0,0,C31/MAX(C$5:C$55))</f>
        <v/>
      </c>
      <c r="M31" s="15">
        <f>IF(MAX(F$5:F$55)=0,0,F31/MAX(F$5:F$55))</f>
        <v/>
      </c>
      <c r="N31" s="15">
        <f>G31</f>
        <v/>
      </c>
      <c r="O31" s="15">
        <f>IF(MAX(I$5:I$55)=0,0,I31/MAX(I$5:I$55))</f>
        <v/>
      </c>
      <c r="P31" s="15">
        <f>IF(K31=0,J31/MAX(J$5:J$55),(J31/MAX(J$5:J$55)+K31/MAX(K$5:K$55))/2)</f>
        <v/>
      </c>
      <c r="Q31" s="16">
        <f>Weights!$C$5*L31+Weights!$C$6*M31+Weights!$C$7*N31+Weights!$C$8*O31+Weights!$C$9*P31</f>
        <v/>
      </c>
      <c r="R31" s="4">
        <f>RANK(Q31,Q$5:Q$55)+COUNTIFS(Q$5:Q$55,Q31,C$5:C$55,"&gt;"&amp;C31)</f>
        <v/>
      </c>
      <c r="S31" s="2">
        <f>IF(R31&lt;=Weights!$C$12,"Yes","")</f>
        <v/>
      </c>
      <c r="T31" s="13" t="inlineStr"/>
    </row>
    <row r="32">
      <c r="A32" s="10" t="inlineStr">
        <is>
          <t>Wisconsin</t>
        </is>
      </c>
      <c r="B32" s="10" t="inlineStr">
        <is>
          <t>WI</t>
        </is>
      </c>
      <c r="C32" s="11">
        <f>COUNTIF(Transactions!$B$2:$B$201,$A32)</f>
        <v/>
      </c>
      <c r="D32" s="11">
        <f>COUNTIFS(Transactions!$B$2:$B$201,$A32,Transactions!$D$2:$D$201,"New vehicle transaction")</f>
        <v/>
      </c>
      <c r="E32" s="11">
        <f>COUNTIFS(Transactions!$B$2:$B$201,$A32,Transactions!$D$2:$D$201,"Used vehicle transaction")</f>
        <v/>
      </c>
      <c r="F32" s="11">
        <f>COUNTIFS(Transactions!$B$2:$B$201,$A32,Transactions!$A$2:$A$201,Weights!$C$11)</f>
        <v/>
      </c>
      <c r="G32" s="10" t="n">
        <v>0</v>
      </c>
      <c r="H32" s="13" t="inlineStr"/>
      <c r="I32" s="14">
        <f>SUMIF('Pipeline Alloc'!$B$5:$B$201,$A32,'Pipeline Alloc'!$E$5:$E$201)</f>
        <v/>
      </c>
      <c r="J32" s="11">
        <f>INDEX('Market Data'!$C$2:$C$52,MATCH($A32,'Market Data'!$A$2:$A$52,0))</f>
        <v/>
      </c>
      <c r="K32" s="11">
        <f>INDEX('Market Data'!$D$2:$D$52,MATCH($A32,'Market Data'!$A$2:$A$52,0))</f>
        <v/>
      </c>
      <c r="L32" s="15">
        <f>IF(MAX(C$5:C$55)=0,0,C32/MAX(C$5:C$55))</f>
        <v/>
      </c>
      <c r="M32" s="15">
        <f>IF(MAX(F$5:F$55)=0,0,F32/MAX(F$5:F$55))</f>
        <v/>
      </c>
      <c r="N32" s="15">
        <f>G32</f>
        <v/>
      </c>
      <c r="O32" s="15">
        <f>IF(MAX(I$5:I$55)=0,0,I32/MAX(I$5:I$55))</f>
        <v/>
      </c>
      <c r="P32" s="15">
        <f>IF(K32=0,J32/MAX(J$5:J$55),(J32/MAX(J$5:J$55)+K32/MAX(K$5:K$55))/2)</f>
        <v/>
      </c>
      <c r="Q32" s="16">
        <f>Weights!$C$5*L32+Weights!$C$6*M32+Weights!$C$7*N32+Weights!$C$8*O32+Weights!$C$9*P32</f>
        <v/>
      </c>
      <c r="R32" s="4">
        <f>RANK(Q32,Q$5:Q$55)+COUNTIFS(Q$5:Q$55,Q32,C$5:C$55,"&gt;"&amp;C32)</f>
        <v/>
      </c>
      <c r="S32" s="2">
        <f>IF(R32&lt;=Weights!$C$12,"Yes","")</f>
        <v/>
      </c>
      <c r="T32" s="13" t="inlineStr"/>
    </row>
    <row r="33">
      <c r="A33" s="10" t="inlineStr">
        <is>
          <t>Delaware</t>
        </is>
      </c>
      <c r="B33" s="10" t="inlineStr">
        <is>
          <t>DE</t>
        </is>
      </c>
      <c r="C33" s="11">
        <f>COUNTIF(Transactions!$B$2:$B$201,$A33)</f>
        <v/>
      </c>
      <c r="D33" s="11">
        <f>COUNTIFS(Transactions!$B$2:$B$201,$A33,Transactions!$D$2:$D$201,"New vehicle transaction")</f>
        <v/>
      </c>
      <c r="E33" s="11">
        <f>COUNTIFS(Transactions!$B$2:$B$201,$A33,Transactions!$D$2:$D$201,"Used vehicle transaction")</f>
        <v/>
      </c>
      <c r="F33" s="11">
        <f>COUNTIFS(Transactions!$B$2:$B$201,$A33,Transactions!$A$2:$A$201,Weights!$C$11)</f>
        <v/>
      </c>
      <c r="G33" s="10" t="n">
        <v>0</v>
      </c>
      <c r="H33" s="13" t="inlineStr"/>
      <c r="I33" s="14">
        <f>SUMIF('Pipeline Alloc'!$B$5:$B$201,$A33,'Pipeline Alloc'!$E$5:$E$201)</f>
        <v/>
      </c>
      <c r="J33" s="11">
        <f>INDEX('Market Data'!$C$2:$C$52,MATCH($A33,'Market Data'!$A$2:$A$52,0))</f>
        <v/>
      </c>
      <c r="K33" s="11">
        <f>INDEX('Market Data'!$D$2:$D$52,MATCH($A33,'Market Data'!$A$2:$A$52,0))</f>
        <v/>
      </c>
      <c r="L33" s="15">
        <f>IF(MAX(C$5:C$55)=0,0,C33/MAX(C$5:C$55))</f>
        <v/>
      </c>
      <c r="M33" s="15">
        <f>IF(MAX(F$5:F$55)=0,0,F33/MAX(F$5:F$55))</f>
        <v/>
      </c>
      <c r="N33" s="15">
        <f>G33</f>
        <v/>
      </c>
      <c r="O33" s="15">
        <f>IF(MAX(I$5:I$55)=0,0,I33/MAX(I$5:I$55))</f>
        <v/>
      </c>
      <c r="P33" s="15">
        <f>IF(K33=0,J33/MAX(J$5:J$55),(J33/MAX(J$5:J$55)+K33/MAX(K$5:K$55))/2)</f>
        <v/>
      </c>
      <c r="Q33" s="16">
        <f>Weights!$C$5*L33+Weights!$C$6*M33+Weights!$C$7*N33+Weights!$C$8*O33+Weights!$C$9*P33</f>
        <v/>
      </c>
      <c r="R33" s="4">
        <f>RANK(Q33,Q$5:Q$55)+COUNTIFS(Q$5:Q$55,Q33,C$5:C$55,"&gt;"&amp;C33)</f>
        <v/>
      </c>
      <c r="S33" s="2">
        <f>IF(R33&lt;=Weights!$C$12,"Yes","")</f>
        <v/>
      </c>
      <c r="T33" s="13" t="inlineStr"/>
    </row>
    <row r="34">
      <c r="A34" s="10" t="inlineStr">
        <is>
          <t>Iowa</t>
        </is>
      </c>
      <c r="B34" s="10" t="inlineStr">
        <is>
          <t>IA</t>
        </is>
      </c>
      <c r="C34" s="11">
        <f>COUNTIF(Transactions!$B$2:$B$201,$A34)</f>
        <v/>
      </c>
      <c r="D34" s="11">
        <f>COUNTIFS(Transactions!$B$2:$B$201,$A34,Transactions!$D$2:$D$201,"New vehicle transaction")</f>
        <v/>
      </c>
      <c r="E34" s="11">
        <f>COUNTIFS(Transactions!$B$2:$B$201,$A34,Transactions!$D$2:$D$201,"Used vehicle transaction")</f>
        <v/>
      </c>
      <c r="F34" s="11">
        <f>COUNTIFS(Transactions!$B$2:$B$201,$A34,Transactions!$A$2:$A$201,Weights!$C$11)</f>
        <v/>
      </c>
      <c r="G34" s="10" t="n">
        <v>0</v>
      </c>
      <c r="H34" s="13" t="inlineStr"/>
      <c r="I34" s="14">
        <f>SUMIF('Pipeline Alloc'!$B$5:$B$201,$A34,'Pipeline Alloc'!$E$5:$E$201)</f>
        <v/>
      </c>
      <c r="J34" s="11">
        <f>INDEX('Market Data'!$C$2:$C$52,MATCH($A34,'Market Data'!$A$2:$A$52,0))</f>
        <v/>
      </c>
      <c r="K34" s="11">
        <f>INDEX('Market Data'!$D$2:$D$52,MATCH($A34,'Market Data'!$A$2:$A$52,0))</f>
        <v/>
      </c>
      <c r="L34" s="15">
        <f>IF(MAX(C$5:C$55)=0,0,C34/MAX(C$5:C$55))</f>
        <v/>
      </c>
      <c r="M34" s="15">
        <f>IF(MAX(F$5:F$55)=0,0,F34/MAX(F$5:F$55))</f>
        <v/>
      </c>
      <c r="N34" s="15">
        <f>G34</f>
        <v/>
      </c>
      <c r="O34" s="15">
        <f>IF(MAX(I$5:I$55)=0,0,I34/MAX(I$5:I$55))</f>
        <v/>
      </c>
      <c r="P34" s="15">
        <f>IF(K34=0,J34/MAX(J$5:J$55),(J34/MAX(J$5:J$55)+K34/MAX(K$5:K$55))/2)</f>
        <v/>
      </c>
      <c r="Q34" s="16">
        <f>Weights!$C$5*L34+Weights!$C$6*M34+Weights!$C$7*N34+Weights!$C$8*O34+Weights!$C$9*P34</f>
        <v/>
      </c>
      <c r="R34" s="4">
        <f>RANK(Q34,Q$5:Q$55)+COUNTIFS(Q$5:Q$55,Q34,C$5:C$55,"&gt;"&amp;C34)</f>
        <v/>
      </c>
      <c r="S34" s="2">
        <f>IF(R34&lt;=Weights!$C$12,"Yes","")</f>
        <v/>
      </c>
      <c r="T34" s="13" t="inlineStr"/>
    </row>
    <row r="35">
      <c r="A35" s="10" t="inlineStr">
        <is>
          <t>Mississippi</t>
        </is>
      </c>
      <c r="B35" s="10" t="inlineStr">
        <is>
          <t>MS</t>
        </is>
      </c>
      <c r="C35" s="11">
        <f>COUNTIF(Transactions!$B$2:$B$201,$A35)</f>
        <v/>
      </c>
      <c r="D35" s="11">
        <f>COUNTIFS(Transactions!$B$2:$B$201,$A35,Transactions!$D$2:$D$201,"New vehicle transaction")</f>
        <v/>
      </c>
      <c r="E35" s="11">
        <f>COUNTIFS(Transactions!$B$2:$B$201,$A35,Transactions!$D$2:$D$201,"Used vehicle transaction")</f>
        <v/>
      </c>
      <c r="F35" s="11">
        <f>COUNTIFS(Transactions!$B$2:$B$201,$A35,Transactions!$A$2:$A$201,Weights!$C$11)</f>
        <v/>
      </c>
      <c r="G35" s="10" t="n">
        <v>0</v>
      </c>
      <c r="H35" s="13" t="inlineStr"/>
      <c r="I35" s="14">
        <f>SUMIF('Pipeline Alloc'!$B$5:$B$201,$A35,'Pipeline Alloc'!$E$5:$E$201)</f>
        <v/>
      </c>
      <c r="J35" s="11">
        <f>INDEX('Market Data'!$C$2:$C$52,MATCH($A35,'Market Data'!$A$2:$A$52,0))</f>
        <v/>
      </c>
      <c r="K35" s="11">
        <f>INDEX('Market Data'!$D$2:$D$52,MATCH($A35,'Market Data'!$A$2:$A$52,0))</f>
        <v/>
      </c>
      <c r="L35" s="15">
        <f>IF(MAX(C$5:C$55)=0,0,C35/MAX(C$5:C$55))</f>
        <v/>
      </c>
      <c r="M35" s="15">
        <f>IF(MAX(F$5:F$55)=0,0,F35/MAX(F$5:F$55))</f>
        <v/>
      </c>
      <c r="N35" s="15">
        <f>G35</f>
        <v/>
      </c>
      <c r="O35" s="15">
        <f>IF(MAX(I$5:I$55)=0,0,I35/MAX(I$5:I$55))</f>
        <v/>
      </c>
      <c r="P35" s="15">
        <f>IF(K35=0,J35/MAX(J$5:J$55),(J35/MAX(J$5:J$55)+K35/MAX(K$5:K$55))/2)</f>
        <v/>
      </c>
      <c r="Q35" s="16">
        <f>Weights!$C$5*L35+Weights!$C$6*M35+Weights!$C$7*N35+Weights!$C$8*O35+Weights!$C$9*P35</f>
        <v/>
      </c>
      <c r="R35" s="4">
        <f>RANK(Q35,Q$5:Q$55)+COUNTIFS(Q$5:Q$55,Q35,C$5:C$55,"&gt;"&amp;C35)</f>
        <v/>
      </c>
      <c r="S35" s="2">
        <f>IF(R35&lt;=Weights!$C$12,"Yes","")</f>
        <v/>
      </c>
      <c r="T35" s="13" t="inlineStr"/>
    </row>
    <row r="36">
      <c r="A36" s="10" t="inlineStr">
        <is>
          <t>New Mexico</t>
        </is>
      </c>
      <c r="B36" s="10" t="inlineStr">
        <is>
          <t>NM</t>
        </is>
      </c>
      <c r="C36" s="11">
        <f>COUNTIF(Transactions!$B$2:$B$201,$A36)</f>
        <v/>
      </c>
      <c r="D36" s="11">
        <f>COUNTIFS(Transactions!$B$2:$B$201,$A36,Transactions!$D$2:$D$201,"New vehicle transaction")</f>
        <v/>
      </c>
      <c r="E36" s="11">
        <f>COUNTIFS(Transactions!$B$2:$B$201,$A36,Transactions!$D$2:$D$201,"Used vehicle transaction")</f>
        <v/>
      </c>
      <c r="F36" s="11">
        <f>COUNTIFS(Transactions!$B$2:$B$201,$A36,Transactions!$A$2:$A$201,Weights!$C$11)</f>
        <v/>
      </c>
      <c r="G36" s="10" t="n">
        <v>0</v>
      </c>
      <c r="H36" s="13" t="inlineStr"/>
      <c r="I36" s="14">
        <f>SUMIF('Pipeline Alloc'!$B$5:$B$201,$A36,'Pipeline Alloc'!$E$5:$E$201)</f>
        <v/>
      </c>
      <c r="J36" s="11">
        <f>INDEX('Market Data'!$C$2:$C$52,MATCH($A36,'Market Data'!$A$2:$A$52,0))</f>
        <v/>
      </c>
      <c r="K36" s="11">
        <f>INDEX('Market Data'!$D$2:$D$52,MATCH($A36,'Market Data'!$A$2:$A$52,0))</f>
        <v/>
      </c>
      <c r="L36" s="15">
        <f>IF(MAX(C$5:C$55)=0,0,C36/MAX(C$5:C$55))</f>
        <v/>
      </c>
      <c r="M36" s="15">
        <f>IF(MAX(F$5:F$55)=0,0,F36/MAX(F$5:F$55))</f>
        <v/>
      </c>
      <c r="N36" s="15">
        <f>G36</f>
        <v/>
      </c>
      <c r="O36" s="15">
        <f>IF(MAX(I$5:I$55)=0,0,I36/MAX(I$5:I$55))</f>
        <v/>
      </c>
      <c r="P36" s="15">
        <f>IF(K36=0,J36/MAX(J$5:J$55),(J36/MAX(J$5:J$55)+K36/MAX(K$5:K$55))/2)</f>
        <v/>
      </c>
      <c r="Q36" s="16">
        <f>Weights!$C$5*L36+Weights!$C$6*M36+Weights!$C$7*N36+Weights!$C$8*O36+Weights!$C$9*P36</f>
        <v/>
      </c>
      <c r="R36" s="4">
        <f>RANK(Q36,Q$5:Q$55)+COUNTIFS(Q$5:Q$55,Q36,C$5:C$55,"&gt;"&amp;C36)</f>
        <v/>
      </c>
      <c r="S36" s="2">
        <f>IF(R36&lt;=Weights!$C$12,"Yes","")</f>
        <v/>
      </c>
      <c r="T36" s="13" t="inlineStr"/>
    </row>
    <row r="37">
      <c r="A37" s="10" t="inlineStr">
        <is>
          <t>Wyoming</t>
        </is>
      </c>
      <c r="B37" s="10" t="inlineStr">
        <is>
          <t>WY</t>
        </is>
      </c>
      <c r="C37" s="11">
        <f>COUNTIF(Transactions!$B$2:$B$201,$A37)</f>
        <v/>
      </c>
      <c r="D37" s="11">
        <f>COUNTIFS(Transactions!$B$2:$B$201,$A37,Transactions!$D$2:$D$201,"New vehicle transaction")</f>
        <v/>
      </c>
      <c r="E37" s="11">
        <f>COUNTIFS(Transactions!$B$2:$B$201,$A37,Transactions!$D$2:$D$201,"Used vehicle transaction")</f>
        <v/>
      </c>
      <c r="F37" s="11">
        <f>COUNTIFS(Transactions!$B$2:$B$201,$A37,Transactions!$A$2:$A$201,Weights!$C$11)</f>
        <v/>
      </c>
      <c r="G37" s="10" t="n">
        <v>0</v>
      </c>
      <c r="H37" s="13" t="inlineStr"/>
      <c r="I37" s="14">
        <f>SUMIF('Pipeline Alloc'!$B$5:$B$201,$A37,'Pipeline Alloc'!$E$5:$E$201)</f>
        <v/>
      </c>
      <c r="J37" s="11">
        <f>INDEX('Market Data'!$C$2:$C$52,MATCH($A37,'Market Data'!$A$2:$A$52,0))</f>
        <v/>
      </c>
      <c r="K37" s="11">
        <f>INDEX('Market Data'!$D$2:$D$52,MATCH($A37,'Market Data'!$A$2:$A$52,0))</f>
        <v/>
      </c>
      <c r="L37" s="15">
        <f>IF(MAX(C$5:C$55)=0,0,C37/MAX(C$5:C$55))</f>
        <v/>
      </c>
      <c r="M37" s="15">
        <f>IF(MAX(F$5:F$55)=0,0,F37/MAX(F$5:F$55))</f>
        <v/>
      </c>
      <c r="N37" s="15">
        <f>G37</f>
        <v/>
      </c>
      <c r="O37" s="15">
        <f>IF(MAX(I$5:I$55)=0,0,I37/MAX(I$5:I$55))</f>
        <v/>
      </c>
      <c r="P37" s="15">
        <f>IF(K37=0,J37/MAX(J$5:J$55),(J37/MAX(J$5:J$55)+K37/MAX(K$5:K$55))/2)</f>
        <v/>
      </c>
      <c r="Q37" s="16">
        <f>Weights!$C$5*L37+Weights!$C$6*M37+Weights!$C$7*N37+Weights!$C$8*O37+Weights!$C$9*P37</f>
        <v/>
      </c>
      <c r="R37" s="4">
        <f>RANK(Q37,Q$5:Q$55)+COUNTIFS(Q$5:Q$55,Q37,C$5:C$55,"&gt;"&amp;C37)</f>
        <v/>
      </c>
      <c r="S37" s="2">
        <f>IF(R37&lt;=Weights!$C$12,"Yes","")</f>
        <v/>
      </c>
      <c r="T37" s="13" t="inlineStr"/>
    </row>
    <row r="38">
      <c r="A38" s="10" t="inlineStr">
        <is>
          <t>District of Columbia</t>
        </is>
      </c>
      <c r="B38" s="10" t="inlineStr">
        <is>
          <t>DC</t>
        </is>
      </c>
      <c r="C38" s="11">
        <f>COUNTIF(Transactions!$B$2:$B$201,$A38)</f>
        <v/>
      </c>
      <c r="D38" s="11">
        <f>COUNTIFS(Transactions!$B$2:$B$201,$A38,Transactions!$D$2:$D$201,"New vehicle transaction")</f>
        <v/>
      </c>
      <c r="E38" s="11">
        <f>COUNTIFS(Transactions!$B$2:$B$201,$A38,Transactions!$D$2:$D$201,"Used vehicle transaction")</f>
        <v/>
      </c>
      <c r="F38" s="11">
        <f>COUNTIFS(Transactions!$B$2:$B$201,$A38,Transactions!$A$2:$A$201,Weights!$C$11)</f>
        <v/>
      </c>
      <c r="G38" s="10" t="n">
        <v>0</v>
      </c>
      <c r="H38" s="13" t="inlineStr"/>
      <c r="I38" s="14">
        <f>SUMIF('Pipeline Alloc'!$B$5:$B$201,$A38,'Pipeline Alloc'!$E$5:$E$201)</f>
        <v/>
      </c>
      <c r="J38" s="11">
        <f>INDEX('Market Data'!$C$2:$C$52,MATCH($A38,'Market Data'!$A$2:$A$52,0))</f>
        <v/>
      </c>
      <c r="K38" s="11">
        <f>INDEX('Market Data'!$D$2:$D$52,MATCH($A38,'Market Data'!$A$2:$A$52,0))</f>
        <v/>
      </c>
      <c r="L38" s="15">
        <f>IF(MAX(C$5:C$55)=0,0,C38/MAX(C$5:C$55))</f>
        <v/>
      </c>
      <c r="M38" s="15">
        <f>IF(MAX(F$5:F$55)=0,0,F38/MAX(F$5:F$55))</f>
        <v/>
      </c>
      <c r="N38" s="15">
        <f>G38</f>
        <v/>
      </c>
      <c r="O38" s="15">
        <f>IF(MAX(I$5:I$55)=0,0,I38/MAX(I$5:I$55))</f>
        <v/>
      </c>
      <c r="P38" s="15">
        <f>IF(K38=0,J38/MAX(J$5:J$55),(J38/MAX(J$5:J$55)+K38/MAX(K$5:K$55))/2)</f>
        <v/>
      </c>
      <c r="Q38" s="16">
        <f>Weights!$C$5*L38+Weights!$C$6*M38+Weights!$C$7*N38+Weights!$C$8*O38+Weights!$C$9*P38</f>
        <v/>
      </c>
      <c r="R38" s="4">
        <f>RANK(Q38,Q$5:Q$55)+COUNTIFS(Q$5:Q$55,Q38,C$5:C$55,"&gt;"&amp;C38)</f>
        <v/>
      </c>
      <c r="S38" s="2">
        <f>IF(R38&lt;=Weights!$C$12,"Yes","")</f>
        <v/>
      </c>
      <c r="T38" s="13" t="inlineStr"/>
    </row>
    <row r="39">
      <c r="A39" s="10" t="inlineStr">
        <is>
          <t>Michigan</t>
        </is>
      </c>
      <c r="B39" s="10" t="inlineStr">
        <is>
          <t>MI</t>
        </is>
      </c>
      <c r="C39" s="11">
        <f>COUNTIF(Transactions!$B$2:$B$201,$A39)</f>
        <v/>
      </c>
      <c r="D39" s="11">
        <f>COUNTIFS(Transactions!$B$2:$B$201,$A39,Transactions!$D$2:$D$201,"New vehicle transaction")</f>
        <v/>
      </c>
      <c r="E39" s="11">
        <f>COUNTIFS(Transactions!$B$2:$B$201,$A39,Transactions!$D$2:$D$201,"Used vehicle transaction")</f>
        <v/>
      </c>
      <c r="F39" s="11">
        <f>COUNTIFS(Transactions!$B$2:$B$201,$A39,Transactions!$A$2:$A$201,Weights!$C$11)</f>
        <v/>
      </c>
      <c r="G39" s="10" t="n">
        <v>0</v>
      </c>
      <c r="H39" s="13" t="inlineStr"/>
      <c r="I39" s="14">
        <f>SUMIF('Pipeline Alloc'!$B$5:$B$201,$A39,'Pipeline Alloc'!$E$5:$E$201)</f>
        <v/>
      </c>
      <c r="J39" s="11">
        <f>INDEX('Market Data'!$C$2:$C$52,MATCH($A39,'Market Data'!$A$2:$A$52,0))</f>
        <v/>
      </c>
      <c r="K39" s="11">
        <f>INDEX('Market Data'!$D$2:$D$52,MATCH($A39,'Market Data'!$A$2:$A$52,0))</f>
        <v/>
      </c>
      <c r="L39" s="15">
        <f>IF(MAX(C$5:C$55)=0,0,C39/MAX(C$5:C$55))</f>
        <v/>
      </c>
      <c r="M39" s="15">
        <f>IF(MAX(F$5:F$55)=0,0,F39/MAX(F$5:F$55))</f>
        <v/>
      </c>
      <c r="N39" s="15">
        <f>G39</f>
        <v/>
      </c>
      <c r="O39" s="15">
        <f>IF(MAX(I$5:I$55)=0,0,I39/MAX(I$5:I$55))</f>
        <v/>
      </c>
      <c r="P39" s="15">
        <f>IF(K39=0,J39/MAX(J$5:J$55),(J39/MAX(J$5:J$55)+K39/MAX(K$5:K$55))/2)</f>
        <v/>
      </c>
      <c r="Q39" s="16">
        <f>Weights!$C$5*L39+Weights!$C$6*M39+Weights!$C$7*N39+Weights!$C$8*O39+Weights!$C$9*P39</f>
        <v/>
      </c>
      <c r="R39" s="4">
        <f>RANK(Q39,Q$5:Q$55)+COUNTIFS(Q$5:Q$55,Q39,C$5:C$55,"&gt;"&amp;C39)</f>
        <v/>
      </c>
      <c r="S39" s="2">
        <f>IF(R39&lt;=Weights!$C$12,"Yes","")</f>
        <v/>
      </c>
      <c r="T39" s="13" t="inlineStr"/>
    </row>
    <row r="40">
      <c r="A40" s="10" t="inlineStr">
        <is>
          <t>Massachusetts</t>
        </is>
      </c>
      <c r="B40" s="10" t="inlineStr">
        <is>
          <t>MA</t>
        </is>
      </c>
      <c r="C40" s="11">
        <f>COUNTIF(Transactions!$B$2:$B$201,$A40)</f>
        <v/>
      </c>
      <c r="D40" s="11">
        <f>COUNTIFS(Transactions!$B$2:$B$201,$A40,Transactions!$D$2:$D$201,"New vehicle transaction")</f>
        <v/>
      </c>
      <c r="E40" s="11">
        <f>COUNTIFS(Transactions!$B$2:$B$201,$A40,Transactions!$D$2:$D$201,"Used vehicle transaction")</f>
        <v/>
      </c>
      <c r="F40" s="11">
        <f>COUNTIFS(Transactions!$B$2:$B$201,$A40,Transactions!$A$2:$A$201,Weights!$C$11)</f>
        <v/>
      </c>
      <c r="G40" s="10" t="n">
        <v>0</v>
      </c>
      <c r="H40" s="13" t="inlineStr"/>
      <c r="I40" s="14">
        <f>SUMIF('Pipeline Alloc'!$B$5:$B$201,$A40,'Pipeline Alloc'!$E$5:$E$201)</f>
        <v/>
      </c>
      <c r="J40" s="11">
        <f>INDEX('Market Data'!$C$2:$C$52,MATCH($A40,'Market Data'!$A$2:$A$52,0))</f>
        <v/>
      </c>
      <c r="K40" s="11">
        <f>INDEX('Market Data'!$D$2:$D$52,MATCH($A40,'Market Data'!$A$2:$A$52,0))</f>
        <v/>
      </c>
      <c r="L40" s="15">
        <f>IF(MAX(C$5:C$55)=0,0,C40/MAX(C$5:C$55))</f>
        <v/>
      </c>
      <c r="M40" s="15">
        <f>IF(MAX(F$5:F$55)=0,0,F40/MAX(F$5:F$55))</f>
        <v/>
      </c>
      <c r="N40" s="15">
        <f>G40</f>
        <v/>
      </c>
      <c r="O40" s="15">
        <f>IF(MAX(I$5:I$55)=0,0,I40/MAX(I$5:I$55))</f>
        <v/>
      </c>
      <c r="P40" s="15">
        <f>IF(K40=0,J40/MAX(J$5:J$55),(J40/MAX(J$5:J$55)+K40/MAX(K$5:K$55))/2)</f>
        <v/>
      </c>
      <c r="Q40" s="16">
        <f>Weights!$C$5*L40+Weights!$C$6*M40+Weights!$C$7*N40+Weights!$C$8*O40+Weights!$C$9*P40</f>
        <v/>
      </c>
      <c r="R40" s="4">
        <f>RANK(Q40,Q$5:Q$55)+COUNTIFS(Q$5:Q$55,Q40,C$5:C$55,"&gt;"&amp;C40)</f>
        <v/>
      </c>
      <c r="S40" s="2">
        <f>IF(R40&lt;=Weights!$C$12,"Yes","")</f>
        <v/>
      </c>
      <c r="T40" s="13" t="inlineStr"/>
    </row>
    <row r="41">
      <c r="A41" s="10" t="inlineStr">
        <is>
          <t>Washington</t>
        </is>
      </c>
      <c r="B41" s="10" t="inlineStr">
        <is>
          <t>WA</t>
        </is>
      </c>
      <c r="C41" s="11">
        <f>COUNTIF(Transactions!$B$2:$B$201,$A41)</f>
        <v/>
      </c>
      <c r="D41" s="11">
        <f>COUNTIFS(Transactions!$B$2:$B$201,$A41,Transactions!$D$2:$D$201,"New vehicle transaction")</f>
        <v/>
      </c>
      <c r="E41" s="11">
        <f>COUNTIFS(Transactions!$B$2:$B$201,$A41,Transactions!$D$2:$D$201,"Used vehicle transaction")</f>
        <v/>
      </c>
      <c r="F41" s="11">
        <f>COUNTIFS(Transactions!$B$2:$B$201,$A41,Transactions!$A$2:$A$201,Weights!$C$11)</f>
        <v/>
      </c>
      <c r="G41" s="10" t="n">
        <v>0</v>
      </c>
      <c r="H41" s="13" t="inlineStr"/>
      <c r="I41" s="14">
        <f>SUMIF('Pipeline Alloc'!$B$5:$B$201,$A41,'Pipeline Alloc'!$E$5:$E$201)</f>
        <v/>
      </c>
      <c r="J41" s="11">
        <f>INDEX('Market Data'!$C$2:$C$52,MATCH($A41,'Market Data'!$A$2:$A$52,0))</f>
        <v/>
      </c>
      <c r="K41" s="11">
        <f>INDEX('Market Data'!$D$2:$D$52,MATCH($A41,'Market Data'!$A$2:$A$52,0))</f>
        <v/>
      </c>
      <c r="L41" s="15">
        <f>IF(MAX(C$5:C$55)=0,0,C41/MAX(C$5:C$55))</f>
        <v/>
      </c>
      <c r="M41" s="15">
        <f>IF(MAX(F$5:F$55)=0,0,F41/MAX(F$5:F$55))</f>
        <v/>
      </c>
      <c r="N41" s="15">
        <f>G41</f>
        <v/>
      </c>
      <c r="O41" s="15">
        <f>IF(MAX(I$5:I$55)=0,0,I41/MAX(I$5:I$55))</f>
        <v/>
      </c>
      <c r="P41" s="15">
        <f>IF(K41=0,J41/MAX(J$5:J$55),(J41/MAX(J$5:J$55)+K41/MAX(K$5:K$55))/2)</f>
        <v/>
      </c>
      <c r="Q41" s="16">
        <f>Weights!$C$5*L41+Weights!$C$6*M41+Weights!$C$7*N41+Weights!$C$8*O41+Weights!$C$9*P41</f>
        <v/>
      </c>
      <c r="R41" s="4">
        <f>RANK(Q41,Q$5:Q$55)+COUNTIFS(Q$5:Q$55,Q41,C$5:C$55,"&gt;"&amp;C41)</f>
        <v/>
      </c>
      <c r="S41" s="2">
        <f>IF(R41&lt;=Weights!$C$12,"Yes","")</f>
        <v/>
      </c>
      <c r="T41" s="13" t="inlineStr"/>
    </row>
    <row r="42">
      <c r="A42" s="10" t="inlineStr">
        <is>
          <t>Connecticut</t>
        </is>
      </c>
      <c r="B42" s="10" t="inlineStr">
        <is>
          <t>CT</t>
        </is>
      </c>
      <c r="C42" s="11">
        <f>COUNTIF(Transactions!$B$2:$B$201,$A42)</f>
        <v/>
      </c>
      <c r="D42" s="11">
        <f>COUNTIFS(Transactions!$B$2:$B$201,$A42,Transactions!$D$2:$D$201,"New vehicle transaction")</f>
        <v/>
      </c>
      <c r="E42" s="11">
        <f>COUNTIFS(Transactions!$B$2:$B$201,$A42,Transactions!$D$2:$D$201,"Used vehicle transaction")</f>
        <v/>
      </c>
      <c r="F42" s="11">
        <f>COUNTIFS(Transactions!$B$2:$B$201,$A42,Transactions!$A$2:$A$201,Weights!$C$11)</f>
        <v/>
      </c>
      <c r="G42" s="10" t="n">
        <v>0</v>
      </c>
      <c r="H42" s="13" t="inlineStr"/>
      <c r="I42" s="14">
        <f>SUMIF('Pipeline Alloc'!$B$5:$B$201,$A42,'Pipeline Alloc'!$E$5:$E$201)</f>
        <v/>
      </c>
      <c r="J42" s="11">
        <f>INDEX('Market Data'!$C$2:$C$52,MATCH($A42,'Market Data'!$A$2:$A$52,0))</f>
        <v/>
      </c>
      <c r="K42" s="11">
        <f>INDEX('Market Data'!$D$2:$D$52,MATCH($A42,'Market Data'!$A$2:$A$52,0))</f>
        <v/>
      </c>
      <c r="L42" s="15">
        <f>IF(MAX(C$5:C$55)=0,0,C42/MAX(C$5:C$55))</f>
        <v/>
      </c>
      <c r="M42" s="15">
        <f>IF(MAX(F$5:F$55)=0,0,F42/MAX(F$5:F$55))</f>
        <v/>
      </c>
      <c r="N42" s="15">
        <f>G42</f>
        <v/>
      </c>
      <c r="O42" s="15">
        <f>IF(MAX(I$5:I$55)=0,0,I42/MAX(I$5:I$55))</f>
        <v/>
      </c>
      <c r="P42" s="15">
        <f>IF(K42=0,J42/MAX(J$5:J$55),(J42/MAX(J$5:J$55)+K42/MAX(K$5:K$55))/2)</f>
        <v/>
      </c>
      <c r="Q42" s="16">
        <f>Weights!$C$5*L42+Weights!$C$6*M42+Weights!$C$7*N42+Weights!$C$8*O42+Weights!$C$9*P42</f>
        <v/>
      </c>
      <c r="R42" s="4">
        <f>RANK(Q42,Q$5:Q$55)+COUNTIFS(Q$5:Q$55,Q42,C$5:C$55,"&gt;"&amp;C42)</f>
        <v/>
      </c>
      <c r="S42" s="2">
        <f>IF(R42&lt;=Weights!$C$12,"Yes","")</f>
        <v/>
      </c>
      <c r="T42" s="13" t="inlineStr"/>
    </row>
    <row r="43">
      <c r="A43" s="10" t="inlineStr">
        <is>
          <t>Minnesota</t>
        </is>
      </c>
      <c r="B43" s="10" t="inlineStr">
        <is>
          <t>MN</t>
        </is>
      </c>
      <c r="C43" s="11">
        <f>COUNTIF(Transactions!$B$2:$B$201,$A43)</f>
        <v/>
      </c>
      <c r="D43" s="11">
        <f>COUNTIFS(Transactions!$B$2:$B$201,$A43,Transactions!$D$2:$D$201,"New vehicle transaction")</f>
        <v/>
      </c>
      <c r="E43" s="11">
        <f>COUNTIFS(Transactions!$B$2:$B$201,$A43,Transactions!$D$2:$D$201,"Used vehicle transaction")</f>
        <v/>
      </c>
      <c r="F43" s="11">
        <f>COUNTIFS(Transactions!$B$2:$B$201,$A43,Transactions!$A$2:$A$201,Weights!$C$11)</f>
        <v/>
      </c>
      <c r="G43" s="10" t="n">
        <v>0</v>
      </c>
      <c r="H43" s="13" t="inlineStr"/>
      <c r="I43" s="14">
        <f>SUMIF('Pipeline Alloc'!$B$5:$B$201,$A43,'Pipeline Alloc'!$E$5:$E$201)</f>
        <v/>
      </c>
      <c r="J43" s="11">
        <f>INDEX('Market Data'!$C$2:$C$52,MATCH($A43,'Market Data'!$A$2:$A$52,0))</f>
        <v/>
      </c>
      <c r="K43" s="11">
        <f>INDEX('Market Data'!$D$2:$D$52,MATCH($A43,'Market Data'!$A$2:$A$52,0))</f>
        <v/>
      </c>
      <c r="L43" s="15">
        <f>IF(MAX(C$5:C$55)=0,0,C43/MAX(C$5:C$55))</f>
        <v/>
      </c>
      <c r="M43" s="15">
        <f>IF(MAX(F$5:F$55)=0,0,F43/MAX(F$5:F$55))</f>
        <v/>
      </c>
      <c r="N43" s="15">
        <f>G43</f>
        <v/>
      </c>
      <c r="O43" s="15">
        <f>IF(MAX(I$5:I$55)=0,0,I43/MAX(I$5:I$55))</f>
        <v/>
      </c>
      <c r="P43" s="15">
        <f>IF(K43=0,J43/MAX(J$5:J$55),(J43/MAX(J$5:J$55)+K43/MAX(K$5:K$55))/2)</f>
        <v/>
      </c>
      <c r="Q43" s="16">
        <f>Weights!$C$5*L43+Weights!$C$6*M43+Weights!$C$7*N43+Weights!$C$8*O43+Weights!$C$9*P43</f>
        <v/>
      </c>
      <c r="R43" s="4">
        <f>RANK(Q43,Q$5:Q$55)+COUNTIFS(Q$5:Q$55,Q43,C$5:C$55,"&gt;"&amp;C43)</f>
        <v/>
      </c>
      <c r="S43" s="2">
        <f>IF(R43&lt;=Weights!$C$12,"Yes","")</f>
        <v/>
      </c>
      <c r="T43" s="13" t="inlineStr"/>
    </row>
    <row r="44">
      <c r="A44" s="10" t="inlineStr">
        <is>
          <t>Oregon</t>
        </is>
      </c>
      <c r="B44" s="10" t="inlineStr">
        <is>
          <t>OR</t>
        </is>
      </c>
      <c r="C44" s="11">
        <f>COUNTIF(Transactions!$B$2:$B$201,$A44)</f>
        <v/>
      </c>
      <c r="D44" s="11">
        <f>COUNTIFS(Transactions!$B$2:$B$201,$A44,Transactions!$D$2:$D$201,"New vehicle transaction")</f>
        <v/>
      </c>
      <c r="E44" s="11">
        <f>COUNTIFS(Transactions!$B$2:$B$201,$A44,Transactions!$D$2:$D$201,"Used vehicle transaction")</f>
        <v/>
      </c>
      <c r="F44" s="11">
        <f>COUNTIFS(Transactions!$B$2:$B$201,$A44,Transactions!$A$2:$A$201,Weights!$C$11)</f>
        <v/>
      </c>
      <c r="G44" s="10" t="n">
        <v>0</v>
      </c>
      <c r="H44" s="13" t="inlineStr"/>
      <c r="I44" s="14">
        <f>SUMIF('Pipeline Alloc'!$B$5:$B$201,$A44,'Pipeline Alloc'!$E$5:$E$201)</f>
        <v/>
      </c>
      <c r="J44" s="11">
        <f>INDEX('Market Data'!$C$2:$C$52,MATCH($A44,'Market Data'!$A$2:$A$52,0))</f>
        <v/>
      </c>
      <c r="K44" s="11">
        <f>INDEX('Market Data'!$D$2:$D$52,MATCH($A44,'Market Data'!$A$2:$A$52,0))</f>
        <v/>
      </c>
      <c r="L44" s="15">
        <f>IF(MAX(C$5:C$55)=0,0,C44/MAX(C$5:C$55))</f>
        <v/>
      </c>
      <c r="M44" s="15">
        <f>IF(MAX(F$5:F$55)=0,0,F44/MAX(F$5:F$55))</f>
        <v/>
      </c>
      <c r="N44" s="15">
        <f>G44</f>
        <v/>
      </c>
      <c r="O44" s="15">
        <f>IF(MAX(I$5:I$55)=0,0,I44/MAX(I$5:I$55))</f>
        <v/>
      </c>
      <c r="P44" s="15">
        <f>IF(K44=0,J44/MAX(J$5:J$55),(J44/MAX(J$5:J$55)+K44/MAX(K$5:K$55))/2)</f>
        <v/>
      </c>
      <c r="Q44" s="16">
        <f>Weights!$C$5*L44+Weights!$C$6*M44+Weights!$C$7*N44+Weights!$C$8*O44+Weights!$C$9*P44</f>
        <v/>
      </c>
      <c r="R44" s="4">
        <f>RANK(Q44,Q$5:Q$55)+COUNTIFS(Q$5:Q$55,Q44,C$5:C$55,"&gt;"&amp;C44)</f>
        <v/>
      </c>
      <c r="S44" s="2">
        <f>IF(R44&lt;=Weights!$C$12,"Yes","")</f>
        <v/>
      </c>
      <c r="T44" s="13" t="inlineStr"/>
    </row>
    <row r="45">
      <c r="A45" s="10" t="inlineStr">
        <is>
          <t>Utah</t>
        </is>
      </c>
      <c r="B45" s="10" t="inlineStr">
        <is>
          <t>UT</t>
        </is>
      </c>
      <c r="C45" s="11">
        <f>COUNTIF(Transactions!$B$2:$B$201,$A45)</f>
        <v/>
      </c>
      <c r="D45" s="11">
        <f>COUNTIFS(Transactions!$B$2:$B$201,$A45,Transactions!$D$2:$D$201,"New vehicle transaction")</f>
        <v/>
      </c>
      <c r="E45" s="11">
        <f>COUNTIFS(Transactions!$B$2:$B$201,$A45,Transactions!$D$2:$D$201,"Used vehicle transaction")</f>
        <v/>
      </c>
      <c r="F45" s="11">
        <f>COUNTIFS(Transactions!$B$2:$B$201,$A45,Transactions!$A$2:$A$201,Weights!$C$11)</f>
        <v/>
      </c>
      <c r="G45" s="10" t="n">
        <v>0</v>
      </c>
      <c r="H45" s="13" t="inlineStr"/>
      <c r="I45" s="14">
        <f>SUMIF('Pipeline Alloc'!$B$5:$B$201,$A45,'Pipeline Alloc'!$E$5:$E$201)</f>
        <v/>
      </c>
      <c r="J45" s="11">
        <f>INDEX('Market Data'!$C$2:$C$52,MATCH($A45,'Market Data'!$A$2:$A$52,0))</f>
        <v/>
      </c>
      <c r="K45" s="11">
        <f>INDEX('Market Data'!$D$2:$D$52,MATCH($A45,'Market Data'!$A$2:$A$52,0))</f>
        <v/>
      </c>
      <c r="L45" s="15">
        <f>IF(MAX(C$5:C$55)=0,0,C45/MAX(C$5:C$55))</f>
        <v/>
      </c>
      <c r="M45" s="15">
        <f>IF(MAX(F$5:F$55)=0,0,F45/MAX(F$5:F$55))</f>
        <v/>
      </c>
      <c r="N45" s="15">
        <f>G45</f>
        <v/>
      </c>
      <c r="O45" s="15">
        <f>IF(MAX(I$5:I$55)=0,0,I45/MAX(I$5:I$55))</f>
        <v/>
      </c>
      <c r="P45" s="15">
        <f>IF(K45=0,J45/MAX(J$5:J$55),(J45/MAX(J$5:J$55)+K45/MAX(K$5:K$55))/2)</f>
        <v/>
      </c>
      <c r="Q45" s="16">
        <f>Weights!$C$5*L45+Weights!$C$6*M45+Weights!$C$7*N45+Weights!$C$8*O45+Weights!$C$9*P45</f>
        <v/>
      </c>
      <c r="R45" s="4">
        <f>RANK(Q45,Q$5:Q$55)+COUNTIFS(Q$5:Q$55,Q45,C$5:C$55,"&gt;"&amp;C45)</f>
        <v/>
      </c>
      <c r="S45" s="2">
        <f>IF(R45&lt;=Weights!$C$12,"Yes","")</f>
        <v/>
      </c>
      <c r="T45" s="13" t="inlineStr"/>
    </row>
    <row r="46">
      <c r="A46" s="10" t="inlineStr">
        <is>
          <t>Kansas</t>
        </is>
      </c>
      <c r="B46" s="10" t="inlineStr">
        <is>
          <t>KS</t>
        </is>
      </c>
      <c r="C46" s="11">
        <f>COUNTIF(Transactions!$B$2:$B$201,$A46)</f>
        <v/>
      </c>
      <c r="D46" s="11">
        <f>COUNTIFS(Transactions!$B$2:$B$201,$A46,Transactions!$D$2:$D$201,"New vehicle transaction")</f>
        <v/>
      </c>
      <c r="E46" s="11">
        <f>COUNTIFS(Transactions!$B$2:$B$201,$A46,Transactions!$D$2:$D$201,"Used vehicle transaction")</f>
        <v/>
      </c>
      <c r="F46" s="11">
        <f>COUNTIFS(Transactions!$B$2:$B$201,$A46,Transactions!$A$2:$A$201,Weights!$C$11)</f>
        <v/>
      </c>
      <c r="G46" s="10" t="n">
        <v>0</v>
      </c>
      <c r="H46" s="13" t="inlineStr"/>
      <c r="I46" s="14">
        <f>SUMIF('Pipeline Alloc'!$B$5:$B$201,$A46,'Pipeline Alloc'!$E$5:$E$201)</f>
        <v/>
      </c>
      <c r="J46" s="11">
        <f>INDEX('Market Data'!$C$2:$C$52,MATCH($A46,'Market Data'!$A$2:$A$52,0))</f>
        <v/>
      </c>
      <c r="K46" s="11">
        <f>INDEX('Market Data'!$D$2:$D$52,MATCH($A46,'Market Data'!$A$2:$A$52,0))</f>
        <v/>
      </c>
      <c r="L46" s="15">
        <f>IF(MAX(C$5:C$55)=0,0,C46/MAX(C$5:C$55))</f>
        <v/>
      </c>
      <c r="M46" s="15">
        <f>IF(MAX(F$5:F$55)=0,0,F46/MAX(F$5:F$55))</f>
        <v/>
      </c>
      <c r="N46" s="15">
        <f>G46</f>
        <v/>
      </c>
      <c r="O46" s="15">
        <f>IF(MAX(I$5:I$55)=0,0,I46/MAX(I$5:I$55))</f>
        <v/>
      </c>
      <c r="P46" s="15">
        <f>IF(K46=0,J46/MAX(J$5:J$55),(J46/MAX(J$5:J$55)+K46/MAX(K$5:K$55))/2)</f>
        <v/>
      </c>
      <c r="Q46" s="16">
        <f>Weights!$C$5*L46+Weights!$C$6*M46+Weights!$C$7*N46+Weights!$C$8*O46+Weights!$C$9*P46</f>
        <v/>
      </c>
      <c r="R46" s="4">
        <f>RANK(Q46,Q$5:Q$55)+COUNTIFS(Q$5:Q$55,Q46,C$5:C$55,"&gt;"&amp;C46)</f>
        <v/>
      </c>
      <c r="S46" s="2">
        <f>IF(R46&lt;=Weights!$C$12,"Yes","")</f>
        <v/>
      </c>
      <c r="T46" s="13" t="inlineStr"/>
    </row>
    <row r="47">
      <c r="A47" s="10" t="inlineStr">
        <is>
          <t>Montana</t>
        </is>
      </c>
      <c r="B47" s="10" t="inlineStr">
        <is>
          <t>MT</t>
        </is>
      </c>
      <c r="C47" s="11">
        <f>COUNTIF(Transactions!$B$2:$B$201,$A47)</f>
        <v/>
      </c>
      <c r="D47" s="11">
        <f>COUNTIFS(Transactions!$B$2:$B$201,$A47,Transactions!$D$2:$D$201,"New vehicle transaction")</f>
        <v/>
      </c>
      <c r="E47" s="11">
        <f>COUNTIFS(Transactions!$B$2:$B$201,$A47,Transactions!$D$2:$D$201,"Used vehicle transaction")</f>
        <v/>
      </c>
      <c r="F47" s="11">
        <f>COUNTIFS(Transactions!$B$2:$B$201,$A47,Transactions!$A$2:$A$201,Weights!$C$11)</f>
        <v/>
      </c>
      <c r="G47" s="10" t="n">
        <v>0</v>
      </c>
      <c r="H47" s="13" t="inlineStr"/>
      <c r="I47" s="14">
        <f>SUMIF('Pipeline Alloc'!$B$5:$B$201,$A47,'Pipeline Alloc'!$E$5:$E$201)</f>
        <v/>
      </c>
      <c r="J47" s="11">
        <f>INDEX('Market Data'!$C$2:$C$52,MATCH($A47,'Market Data'!$A$2:$A$52,0))</f>
        <v/>
      </c>
      <c r="K47" s="11">
        <f>INDEX('Market Data'!$D$2:$D$52,MATCH($A47,'Market Data'!$A$2:$A$52,0))</f>
        <v/>
      </c>
      <c r="L47" s="15">
        <f>IF(MAX(C$5:C$55)=0,0,C47/MAX(C$5:C$55))</f>
        <v/>
      </c>
      <c r="M47" s="15">
        <f>IF(MAX(F$5:F$55)=0,0,F47/MAX(F$5:F$55))</f>
        <v/>
      </c>
      <c r="N47" s="15">
        <f>G47</f>
        <v/>
      </c>
      <c r="O47" s="15">
        <f>IF(MAX(I$5:I$55)=0,0,I47/MAX(I$5:I$55))</f>
        <v/>
      </c>
      <c r="P47" s="15">
        <f>IF(K47=0,J47/MAX(J$5:J$55),(J47/MAX(J$5:J$55)+K47/MAX(K$5:K$55))/2)</f>
        <v/>
      </c>
      <c r="Q47" s="16">
        <f>Weights!$C$5*L47+Weights!$C$6*M47+Weights!$C$7*N47+Weights!$C$8*O47+Weights!$C$9*P47</f>
        <v/>
      </c>
      <c r="R47" s="4">
        <f>RANK(Q47,Q$5:Q$55)+COUNTIFS(Q$5:Q$55,Q47,C$5:C$55,"&gt;"&amp;C47)</f>
        <v/>
      </c>
      <c r="S47" s="2">
        <f>IF(R47&lt;=Weights!$C$12,"Yes","")</f>
        <v/>
      </c>
      <c r="T47" s="13" t="inlineStr"/>
    </row>
    <row r="48">
      <c r="A48" s="10" t="inlineStr">
        <is>
          <t>Nebraska</t>
        </is>
      </c>
      <c r="B48" s="10" t="inlineStr">
        <is>
          <t>NE</t>
        </is>
      </c>
      <c r="C48" s="11">
        <f>COUNTIF(Transactions!$B$2:$B$201,$A48)</f>
        <v/>
      </c>
      <c r="D48" s="11">
        <f>COUNTIFS(Transactions!$B$2:$B$201,$A48,Transactions!$D$2:$D$201,"New vehicle transaction")</f>
        <v/>
      </c>
      <c r="E48" s="11">
        <f>COUNTIFS(Transactions!$B$2:$B$201,$A48,Transactions!$D$2:$D$201,"Used vehicle transaction")</f>
        <v/>
      </c>
      <c r="F48" s="11">
        <f>COUNTIFS(Transactions!$B$2:$B$201,$A48,Transactions!$A$2:$A$201,Weights!$C$11)</f>
        <v/>
      </c>
      <c r="G48" s="10" t="n">
        <v>0</v>
      </c>
      <c r="H48" s="13" t="inlineStr"/>
      <c r="I48" s="14">
        <f>SUMIF('Pipeline Alloc'!$B$5:$B$201,$A48,'Pipeline Alloc'!$E$5:$E$201)</f>
        <v/>
      </c>
      <c r="J48" s="11">
        <f>INDEX('Market Data'!$C$2:$C$52,MATCH($A48,'Market Data'!$A$2:$A$52,0))</f>
        <v/>
      </c>
      <c r="K48" s="11">
        <f>INDEX('Market Data'!$D$2:$D$52,MATCH($A48,'Market Data'!$A$2:$A$52,0))</f>
        <v/>
      </c>
      <c r="L48" s="15">
        <f>IF(MAX(C$5:C$55)=0,0,C48/MAX(C$5:C$55))</f>
        <v/>
      </c>
      <c r="M48" s="15">
        <f>IF(MAX(F$5:F$55)=0,0,F48/MAX(F$5:F$55))</f>
        <v/>
      </c>
      <c r="N48" s="15">
        <f>G48</f>
        <v/>
      </c>
      <c r="O48" s="15">
        <f>IF(MAX(I$5:I$55)=0,0,I48/MAX(I$5:I$55))</f>
        <v/>
      </c>
      <c r="P48" s="15">
        <f>IF(K48=0,J48/MAX(J$5:J$55),(J48/MAX(J$5:J$55)+K48/MAX(K$5:K$55))/2)</f>
        <v/>
      </c>
      <c r="Q48" s="16">
        <f>Weights!$C$5*L48+Weights!$C$6*M48+Weights!$C$7*N48+Weights!$C$8*O48+Weights!$C$9*P48</f>
        <v/>
      </c>
      <c r="R48" s="4">
        <f>RANK(Q48,Q$5:Q$55)+COUNTIFS(Q$5:Q$55,Q48,C$5:C$55,"&gt;"&amp;C48)</f>
        <v/>
      </c>
      <c r="S48" s="2">
        <f>IF(R48&lt;=Weights!$C$12,"Yes","")</f>
        <v/>
      </c>
      <c r="T48" s="13" t="inlineStr"/>
    </row>
    <row r="49">
      <c r="A49" s="10" t="inlineStr">
        <is>
          <t>Idaho</t>
        </is>
      </c>
      <c r="B49" s="10" t="inlineStr">
        <is>
          <t>ID</t>
        </is>
      </c>
      <c r="C49" s="11">
        <f>COUNTIF(Transactions!$B$2:$B$201,$A49)</f>
        <v/>
      </c>
      <c r="D49" s="11">
        <f>COUNTIFS(Transactions!$B$2:$B$201,$A49,Transactions!$D$2:$D$201,"New vehicle transaction")</f>
        <v/>
      </c>
      <c r="E49" s="11">
        <f>COUNTIFS(Transactions!$B$2:$B$201,$A49,Transactions!$D$2:$D$201,"Used vehicle transaction")</f>
        <v/>
      </c>
      <c r="F49" s="11">
        <f>COUNTIFS(Transactions!$B$2:$B$201,$A49,Transactions!$A$2:$A$201,Weights!$C$11)</f>
        <v/>
      </c>
      <c r="G49" s="10" t="n">
        <v>0</v>
      </c>
      <c r="H49" s="13" t="inlineStr"/>
      <c r="I49" s="14">
        <f>SUMIF('Pipeline Alloc'!$B$5:$B$201,$A49,'Pipeline Alloc'!$E$5:$E$201)</f>
        <v/>
      </c>
      <c r="J49" s="11">
        <f>INDEX('Market Data'!$C$2:$C$52,MATCH($A49,'Market Data'!$A$2:$A$52,0))</f>
        <v/>
      </c>
      <c r="K49" s="11">
        <f>INDEX('Market Data'!$D$2:$D$52,MATCH($A49,'Market Data'!$A$2:$A$52,0))</f>
        <v/>
      </c>
      <c r="L49" s="15">
        <f>IF(MAX(C$5:C$55)=0,0,C49/MAX(C$5:C$55))</f>
        <v/>
      </c>
      <c r="M49" s="15">
        <f>IF(MAX(F$5:F$55)=0,0,F49/MAX(F$5:F$55))</f>
        <v/>
      </c>
      <c r="N49" s="15">
        <f>G49</f>
        <v/>
      </c>
      <c r="O49" s="15">
        <f>IF(MAX(I$5:I$55)=0,0,I49/MAX(I$5:I$55))</f>
        <v/>
      </c>
      <c r="P49" s="15">
        <f>IF(K49=0,J49/MAX(J$5:J$55),(J49/MAX(J$5:J$55)+K49/MAX(K$5:K$55))/2)</f>
        <v/>
      </c>
      <c r="Q49" s="16">
        <f>Weights!$C$5*L49+Weights!$C$6*M49+Weights!$C$7*N49+Weights!$C$8*O49+Weights!$C$9*P49</f>
        <v/>
      </c>
      <c r="R49" s="4">
        <f>RANK(Q49,Q$5:Q$55)+COUNTIFS(Q$5:Q$55,Q49,C$5:C$55,"&gt;"&amp;C49)</f>
        <v/>
      </c>
      <c r="S49" s="2">
        <f>IF(R49&lt;=Weights!$C$12,"Yes","")</f>
        <v/>
      </c>
      <c r="T49" s="13" t="inlineStr"/>
    </row>
    <row r="50">
      <c r="A50" s="10" t="inlineStr">
        <is>
          <t>Hawaii</t>
        </is>
      </c>
      <c r="B50" s="10" t="inlineStr">
        <is>
          <t>HI</t>
        </is>
      </c>
      <c r="C50" s="11">
        <f>COUNTIF(Transactions!$B$2:$B$201,$A50)</f>
        <v/>
      </c>
      <c r="D50" s="11">
        <f>COUNTIFS(Transactions!$B$2:$B$201,$A50,Transactions!$D$2:$D$201,"New vehicle transaction")</f>
        <v/>
      </c>
      <c r="E50" s="11">
        <f>COUNTIFS(Transactions!$B$2:$B$201,$A50,Transactions!$D$2:$D$201,"Used vehicle transaction")</f>
        <v/>
      </c>
      <c r="F50" s="11">
        <f>COUNTIFS(Transactions!$B$2:$B$201,$A50,Transactions!$A$2:$A$201,Weights!$C$11)</f>
        <v/>
      </c>
      <c r="G50" s="10" t="n">
        <v>0</v>
      </c>
      <c r="H50" s="13" t="inlineStr"/>
      <c r="I50" s="14">
        <f>SUMIF('Pipeline Alloc'!$B$5:$B$201,$A50,'Pipeline Alloc'!$E$5:$E$201)</f>
        <v/>
      </c>
      <c r="J50" s="11">
        <f>INDEX('Market Data'!$C$2:$C$52,MATCH($A50,'Market Data'!$A$2:$A$52,0))</f>
        <v/>
      </c>
      <c r="K50" s="11">
        <f>INDEX('Market Data'!$D$2:$D$52,MATCH($A50,'Market Data'!$A$2:$A$52,0))</f>
        <v/>
      </c>
      <c r="L50" s="15">
        <f>IF(MAX(C$5:C$55)=0,0,C50/MAX(C$5:C$55))</f>
        <v/>
      </c>
      <c r="M50" s="15">
        <f>IF(MAX(F$5:F$55)=0,0,F50/MAX(F$5:F$55))</f>
        <v/>
      </c>
      <c r="N50" s="15">
        <f>G50</f>
        <v/>
      </c>
      <c r="O50" s="15">
        <f>IF(MAX(I$5:I$55)=0,0,I50/MAX(I$5:I$55))</f>
        <v/>
      </c>
      <c r="P50" s="15">
        <f>IF(K50=0,J50/MAX(J$5:J$55),(J50/MAX(J$5:J$55)+K50/MAX(K$5:K$55))/2)</f>
        <v/>
      </c>
      <c r="Q50" s="16">
        <f>Weights!$C$5*L50+Weights!$C$6*M50+Weights!$C$7*N50+Weights!$C$8*O50+Weights!$C$9*P50</f>
        <v/>
      </c>
      <c r="R50" s="4">
        <f>RANK(Q50,Q$5:Q$55)+COUNTIFS(Q$5:Q$55,Q50,C$5:C$55,"&gt;"&amp;C50)</f>
        <v/>
      </c>
      <c r="S50" s="2">
        <f>IF(R50&lt;=Weights!$C$12,"Yes","")</f>
        <v/>
      </c>
      <c r="T50" s="13" t="inlineStr"/>
    </row>
    <row r="51">
      <c r="A51" s="10" t="inlineStr">
        <is>
          <t>South Dakota</t>
        </is>
      </c>
      <c r="B51" s="10" t="inlineStr">
        <is>
          <t>SD</t>
        </is>
      </c>
      <c r="C51" s="11">
        <f>COUNTIF(Transactions!$B$2:$B$201,$A51)</f>
        <v/>
      </c>
      <c r="D51" s="11">
        <f>COUNTIFS(Transactions!$B$2:$B$201,$A51,Transactions!$D$2:$D$201,"New vehicle transaction")</f>
        <v/>
      </c>
      <c r="E51" s="11">
        <f>COUNTIFS(Transactions!$B$2:$B$201,$A51,Transactions!$D$2:$D$201,"Used vehicle transaction")</f>
        <v/>
      </c>
      <c r="F51" s="11">
        <f>COUNTIFS(Transactions!$B$2:$B$201,$A51,Transactions!$A$2:$A$201,Weights!$C$11)</f>
        <v/>
      </c>
      <c r="G51" s="10" t="n">
        <v>0</v>
      </c>
      <c r="H51" s="13" t="inlineStr"/>
      <c r="I51" s="14">
        <f>SUMIF('Pipeline Alloc'!$B$5:$B$201,$A51,'Pipeline Alloc'!$E$5:$E$201)</f>
        <v/>
      </c>
      <c r="J51" s="11">
        <f>INDEX('Market Data'!$C$2:$C$52,MATCH($A51,'Market Data'!$A$2:$A$52,0))</f>
        <v/>
      </c>
      <c r="K51" s="11">
        <f>INDEX('Market Data'!$D$2:$D$52,MATCH($A51,'Market Data'!$A$2:$A$52,0))</f>
        <v/>
      </c>
      <c r="L51" s="15">
        <f>IF(MAX(C$5:C$55)=0,0,C51/MAX(C$5:C$55))</f>
        <v/>
      </c>
      <c r="M51" s="15">
        <f>IF(MAX(F$5:F$55)=0,0,F51/MAX(F$5:F$55))</f>
        <v/>
      </c>
      <c r="N51" s="15">
        <f>G51</f>
        <v/>
      </c>
      <c r="O51" s="15">
        <f>IF(MAX(I$5:I$55)=0,0,I51/MAX(I$5:I$55))</f>
        <v/>
      </c>
      <c r="P51" s="15">
        <f>IF(K51=0,J51/MAX(J$5:J$55),(J51/MAX(J$5:J$55)+K51/MAX(K$5:K$55))/2)</f>
        <v/>
      </c>
      <c r="Q51" s="16">
        <f>Weights!$C$5*L51+Weights!$C$6*M51+Weights!$C$7*N51+Weights!$C$8*O51+Weights!$C$9*P51</f>
        <v/>
      </c>
      <c r="R51" s="4">
        <f>RANK(Q51,Q$5:Q$55)+COUNTIFS(Q$5:Q$55,Q51,C$5:C$55,"&gt;"&amp;C51)</f>
        <v/>
      </c>
      <c r="S51" s="2">
        <f>IF(R51&lt;=Weights!$C$12,"Yes","")</f>
        <v/>
      </c>
      <c r="T51" s="13" t="inlineStr"/>
    </row>
    <row r="52">
      <c r="A52" s="10" t="inlineStr">
        <is>
          <t>North Dakota</t>
        </is>
      </c>
      <c r="B52" s="10" t="inlineStr">
        <is>
          <t>ND</t>
        </is>
      </c>
      <c r="C52" s="11">
        <f>COUNTIF(Transactions!$B$2:$B$201,$A52)</f>
        <v/>
      </c>
      <c r="D52" s="11">
        <f>COUNTIFS(Transactions!$B$2:$B$201,$A52,Transactions!$D$2:$D$201,"New vehicle transaction")</f>
        <v/>
      </c>
      <c r="E52" s="11">
        <f>COUNTIFS(Transactions!$B$2:$B$201,$A52,Transactions!$D$2:$D$201,"Used vehicle transaction")</f>
        <v/>
      </c>
      <c r="F52" s="11">
        <f>COUNTIFS(Transactions!$B$2:$B$201,$A52,Transactions!$A$2:$A$201,Weights!$C$11)</f>
        <v/>
      </c>
      <c r="G52" s="10" t="n">
        <v>0</v>
      </c>
      <c r="H52" s="13" t="inlineStr"/>
      <c r="I52" s="14">
        <f>SUMIF('Pipeline Alloc'!$B$5:$B$201,$A52,'Pipeline Alloc'!$E$5:$E$201)</f>
        <v/>
      </c>
      <c r="J52" s="11">
        <f>INDEX('Market Data'!$C$2:$C$52,MATCH($A52,'Market Data'!$A$2:$A$52,0))</f>
        <v/>
      </c>
      <c r="K52" s="11">
        <f>INDEX('Market Data'!$D$2:$D$52,MATCH($A52,'Market Data'!$A$2:$A$52,0))</f>
        <v/>
      </c>
      <c r="L52" s="15">
        <f>IF(MAX(C$5:C$55)=0,0,C52/MAX(C$5:C$55))</f>
        <v/>
      </c>
      <c r="M52" s="15">
        <f>IF(MAX(F$5:F$55)=0,0,F52/MAX(F$5:F$55))</f>
        <v/>
      </c>
      <c r="N52" s="15">
        <f>G52</f>
        <v/>
      </c>
      <c r="O52" s="15">
        <f>IF(MAX(I$5:I$55)=0,0,I52/MAX(I$5:I$55))</f>
        <v/>
      </c>
      <c r="P52" s="15">
        <f>IF(K52=0,J52/MAX(J$5:J$55),(J52/MAX(J$5:J$55)+K52/MAX(K$5:K$55))/2)</f>
        <v/>
      </c>
      <c r="Q52" s="16">
        <f>Weights!$C$5*L52+Weights!$C$6*M52+Weights!$C$7*N52+Weights!$C$8*O52+Weights!$C$9*P52</f>
        <v/>
      </c>
      <c r="R52" s="4">
        <f>RANK(Q52,Q$5:Q$55)+COUNTIFS(Q$5:Q$55,Q52,C$5:C$55,"&gt;"&amp;C52)</f>
        <v/>
      </c>
      <c r="S52" s="2">
        <f>IF(R52&lt;=Weights!$C$12,"Yes","")</f>
        <v/>
      </c>
      <c r="T52" s="13" t="inlineStr"/>
    </row>
    <row r="53">
      <c r="A53" s="10" t="inlineStr">
        <is>
          <t>Rhode Island</t>
        </is>
      </c>
      <c r="B53" s="10" t="inlineStr">
        <is>
          <t>RI</t>
        </is>
      </c>
      <c r="C53" s="11">
        <f>COUNTIF(Transactions!$B$2:$B$201,$A53)</f>
        <v/>
      </c>
      <c r="D53" s="11">
        <f>COUNTIFS(Transactions!$B$2:$B$201,$A53,Transactions!$D$2:$D$201,"New vehicle transaction")</f>
        <v/>
      </c>
      <c r="E53" s="11">
        <f>COUNTIFS(Transactions!$B$2:$B$201,$A53,Transactions!$D$2:$D$201,"Used vehicle transaction")</f>
        <v/>
      </c>
      <c r="F53" s="11">
        <f>COUNTIFS(Transactions!$B$2:$B$201,$A53,Transactions!$A$2:$A$201,Weights!$C$11)</f>
        <v/>
      </c>
      <c r="G53" s="10" t="n">
        <v>0</v>
      </c>
      <c r="H53" s="13" t="inlineStr"/>
      <c r="I53" s="14">
        <f>SUMIF('Pipeline Alloc'!$B$5:$B$201,$A53,'Pipeline Alloc'!$E$5:$E$201)</f>
        <v/>
      </c>
      <c r="J53" s="11">
        <f>INDEX('Market Data'!$C$2:$C$52,MATCH($A53,'Market Data'!$A$2:$A$52,0))</f>
        <v/>
      </c>
      <c r="K53" s="11">
        <f>INDEX('Market Data'!$D$2:$D$52,MATCH($A53,'Market Data'!$A$2:$A$52,0))</f>
        <v/>
      </c>
      <c r="L53" s="15">
        <f>IF(MAX(C$5:C$55)=0,0,C53/MAX(C$5:C$55))</f>
        <v/>
      </c>
      <c r="M53" s="15">
        <f>IF(MAX(F$5:F$55)=0,0,F53/MAX(F$5:F$55))</f>
        <v/>
      </c>
      <c r="N53" s="15">
        <f>G53</f>
        <v/>
      </c>
      <c r="O53" s="15">
        <f>IF(MAX(I$5:I$55)=0,0,I53/MAX(I$5:I$55))</f>
        <v/>
      </c>
      <c r="P53" s="15">
        <f>IF(K53=0,J53/MAX(J$5:J$55),(J53/MAX(J$5:J$55)+K53/MAX(K$5:K$55))/2)</f>
        <v/>
      </c>
      <c r="Q53" s="16">
        <f>Weights!$C$5*L53+Weights!$C$6*M53+Weights!$C$7*N53+Weights!$C$8*O53+Weights!$C$9*P53</f>
        <v/>
      </c>
      <c r="R53" s="4">
        <f>RANK(Q53,Q$5:Q$55)+COUNTIFS(Q$5:Q$55,Q53,C$5:C$55,"&gt;"&amp;C53)</f>
        <v/>
      </c>
      <c r="S53" s="2">
        <f>IF(R53&lt;=Weights!$C$12,"Yes","")</f>
        <v/>
      </c>
      <c r="T53" s="13" t="inlineStr"/>
    </row>
    <row r="54">
      <c r="A54" s="10" t="inlineStr">
        <is>
          <t>Vermont</t>
        </is>
      </c>
      <c r="B54" s="10" t="inlineStr">
        <is>
          <t>VT</t>
        </is>
      </c>
      <c r="C54" s="11">
        <f>COUNTIF(Transactions!$B$2:$B$201,$A54)</f>
        <v/>
      </c>
      <c r="D54" s="11">
        <f>COUNTIFS(Transactions!$B$2:$B$201,$A54,Transactions!$D$2:$D$201,"New vehicle transaction")</f>
        <v/>
      </c>
      <c r="E54" s="11">
        <f>COUNTIFS(Transactions!$B$2:$B$201,$A54,Transactions!$D$2:$D$201,"Used vehicle transaction")</f>
        <v/>
      </c>
      <c r="F54" s="11">
        <f>COUNTIFS(Transactions!$B$2:$B$201,$A54,Transactions!$A$2:$A$201,Weights!$C$11)</f>
        <v/>
      </c>
      <c r="G54" s="10" t="n">
        <v>0</v>
      </c>
      <c r="H54" s="13" t="inlineStr"/>
      <c r="I54" s="14">
        <f>SUMIF('Pipeline Alloc'!$B$5:$B$201,$A54,'Pipeline Alloc'!$E$5:$E$201)</f>
        <v/>
      </c>
      <c r="J54" s="11">
        <f>INDEX('Market Data'!$C$2:$C$52,MATCH($A54,'Market Data'!$A$2:$A$52,0))</f>
        <v/>
      </c>
      <c r="K54" s="11">
        <f>INDEX('Market Data'!$D$2:$D$52,MATCH($A54,'Market Data'!$A$2:$A$52,0))</f>
        <v/>
      </c>
      <c r="L54" s="15">
        <f>IF(MAX(C$5:C$55)=0,0,C54/MAX(C$5:C$55))</f>
        <v/>
      </c>
      <c r="M54" s="15">
        <f>IF(MAX(F$5:F$55)=0,0,F54/MAX(F$5:F$55))</f>
        <v/>
      </c>
      <c r="N54" s="15">
        <f>G54</f>
        <v/>
      </c>
      <c r="O54" s="15">
        <f>IF(MAX(I$5:I$55)=0,0,I54/MAX(I$5:I$55))</f>
        <v/>
      </c>
      <c r="P54" s="15">
        <f>IF(K54=0,J54/MAX(J$5:J$55),(J54/MAX(J$5:J$55)+K54/MAX(K$5:K$55))/2)</f>
        <v/>
      </c>
      <c r="Q54" s="16">
        <f>Weights!$C$5*L54+Weights!$C$6*M54+Weights!$C$7*N54+Weights!$C$8*O54+Weights!$C$9*P54</f>
        <v/>
      </c>
      <c r="R54" s="4">
        <f>RANK(Q54,Q$5:Q$55)+COUNTIFS(Q$5:Q$55,Q54,C$5:C$55,"&gt;"&amp;C54)</f>
        <v/>
      </c>
      <c r="S54" s="2">
        <f>IF(R54&lt;=Weights!$C$12,"Yes","")</f>
        <v/>
      </c>
      <c r="T54" s="13" t="inlineStr"/>
    </row>
    <row r="55">
      <c r="A55" s="10" t="inlineStr">
        <is>
          <t>Alaska</t>
        </is>
      </c>
      <c r="B55" s="10" t="inlineStr">
        <is>
          <t>AK</t>
        </is>
      </c>
      <c r="C55" s="11">
        <f>COUNTIF(Transactions!$B$2:$B$201,$A55)</f>
        <v/>
      </c>
      <c r="D55" s="11">
        <f>COUNTIFS(Transactions!$B$2:$B$201,$A55,Transactions!$D$2:$D$201,"New vehicle transaction")</f>
        <v/>
      </c>
      <c r="E55" s="11">
        <f>COUNTIFS(Transactions!$B$2:$B$201,$A55,Transactions!$D$2:$D$201,"Used vehicle transaction")</f>
        <v/>
      </c>
      <c r="F55" s="11">
        <f>COUNTIFS(Transactions!$B$2:$B$201,$A55,Transactions!$A$2:$A$201,Weights!$C$11)</f>
        <v/>
      </c>
      <c r="G55" s="10" t="n">
        <v>0</v>
      </c>
      <c r="H55" s="13" t="inlineStr"/>
      <c r="I55" s="14">
        <f>SUMIF('Pipeline Alloc'!$B$5:$B$201,$A55,'Pipeline Alloc'!$E$5:$E$201)</f>
        <v/>
      </c>
      <c r="J55" s="11">
        <f>INDEX('Market Data'!$C$2:$C$52,MATCH($A55,'Market Data'!$A$2:$A$52,0))</f>
        <v/>
      </c>
      <c r="K55" s="11">
        <f>INDEX('Market Data'!$D$2:$D$52,MATCH($A55,'Market Data'!$A$2:$A$52,0))</f>
        <v/>
      </c>
      <c r="L55" s="15">
        <f>IF(MAX(C$5:C$55)=0,0,C55/MAX(C$5:C$55))</f>
        <v/>
      </c>
      <c r="M55" s="15">
        <f>IF(MAX(F$5:F$55)=0,0,F55/MAX(F$5:F$55))</f>
        <v/>
      </c>
      <c r="N55" s="15">
        <f>G55</f>
        <v/>
      </c>
      <c r="O55" s="15">
        <f>IF(MAX(I$5:I$55)=0,0,I55/MAX(I$5:I$55))</f>
        <v/>
      </c>
      <c r="P55" s="15">
        <f>IF(K55=0,J55/MAX(J$5:J$55),(J55/MAX(J$5:J$55)+K55/MAX(K$5:K$55))/2)</f>
        <v/>
      </c>
      <c r="Q55" s="16">
        <f>Weights!$C$5*L55+Weights!$C$6*M55+Weights!$C$7*N55+Weights!$C$8*O55+Weights!$C$9*P55</f>
        <v/>
      </c>
      <c r="R55" s="4">
        <f>RANK(Q55,Q$5:Q$55)+COUNTIFS(Q$5:Q$55,Q55,C$5:C$55,"&gt;"&amp;C55)</f>
        <v/>
      </c>
      <c r="S55" s="2">
        <f>IF(R55&lt;=Weights!$C$12,"Yes","")</f>
        <v/>
      </c>
      <c r="T55" s="1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0" customWidth="1" min="4" max="4"/>
  </cols>
  <sheetData>
    <row r="1">
      <c r="A1" s="1" t="inlineStr">
        <is>
          <t>Scoring weights and settings</t>
        </is>
      </c>
      <c r="B1" s="2" t="n"/>
      <c r="C1" s="2" t="n"/>
      <c r="D1" s="2" t="n"/>
    </row>
    <row r="2">
      <c r="A2" s="3" t="inlineStr">
        <is>
          <t>Yellow = the levers to test in the debrief. Weights must sum to 100%.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Component</t>
        </is>
      </c>
      <c r="B4" s="6" t="inlineStr">
        <is>
          <t>Key</t>
        </is>
      </c>
      <c r="C4" s="6" t="inlineStr">
        <is>
          <t>Weight</t>
        </is>
      </c>
      <c r="D4" s="6" t="inlineStr">
        <is>
          <t>What it measures / why</t>
        </is>
      </c>
    </row>
    <row r="5">
      <c r="A5" s="13" t="inlineStr">
        <is>
          <t>Existing-customer transaction volume</t>
        </is>
      </c>
      <c r="B5" s="13" t="inlineStr">
        <is>
          <t>volume</t>
        </is>
      </c>
      <c r="C5" s="17" t="n">
        <v>0.45</v>
      </c>
      <c r="D5" s="5" t="inlineStr">
        <is>
          <t>Share of the 200 recent transactions in the state. The strongest traction signal: they are live users who'll give calibration feedback.</t>
        </is>
      </c>
    </row>
    <row r="6">
      <c r="A6" s="13" t="inlineStr">
        <is>
          <t>Anchor customer (87) volume</t>
        </is>
      </c>
      <c r="B6" s="13" t="inlineStr">
        <is>
          <t>anchor</t>
        </is>
      </c>
      <c r="C6" s="17" t="n">
        <v>0.2</v>
      </c>
      <c r="D6" s="5" t="inlineStr">
        <is>
          <t>Customer 87 is our biggest account: Audit in 30+ states, 68% of transactions, D01 Autofill expansion. Winning them is the reference story.</t>
        </is>
      </c>
    </row>
    <row r="7">
      <c r="A7" s="13" t="inlineStr">
        <is>
          <t>Commitments to existing customers</t>
        </is>
      </c>
      <c r="B7" s="13" t="inlineStr">
        <is>
          <t>commitment</t>
        </is>
      </c>
      <c r="C7" s="17" t="n">
        <v>0.2</v>
      </c>
      <c r="D7" s="5" t="inlineStr">
        <is>
          <t>Signed or explicit asks: D09 Q4 promise (GA/AL/TN), D02 Texas-first (TX; FL/AZ at 80%). Set on the Scorecard, column G.</t>
        </is>
      </c>
    </row>
    <row r="8">
      <c r="A8" s="13" t="inlineStr">
        <is>
          <t>Probability-weighted Autofill pipeline</t>
        </is>
      </c>
      <c r="B8" s="13" t="inlineStr">
        <is>
          <t>pipeline</t>
        </is>
      </c>
      <c r="C8" s="17" t="n">
        <v>0.1</v>
      </c>
      <c r="D8" s="5" t="inlineStr">
        <is>
          <t>Autofill deals only, value x probability x haircut, split across states. Secondary to usage.</t>
        </is>
      </c>
    </row>
    <row r="9">
      <c r="A9" s="13" t="inlineStr">
        <is>
          <t>Market size</t>
        </is>
      </c>
      <c r="B9" s="13" t="inlineStr">
        <is>
          <t>market</t>
        </is>
      </c>
      <c r="C9" s="17" t="n">
        <v>0.05</v>
      </c>
      <c r="D9" s="5" t="inlineStr">
        <is>
          <t>Average of normalized FHWA registrations and 2025 new-vehicle sales. A tie-breaker only.</t>
        </is>
      </c>
    </row>
    <row r="10">
      <c r="A10" s="4" t="inlineStr">
        <is>
          <t>Total (must be 100%)</t>
        </is>
      </c>
      <c r="B10" s="2" t="n"/>
      <c r="C10" s="9">
        <f>SUM(C5:C9)</f>
        <v/>
      </c>
      <c r="D10" s="2">
        <f>IF(ROUND(C10,4)=1,"OK","Weights do not sum to 100%")</f>
        <v/>
      </c>
    </row>
    <row r="11">
      <c r="A11" s="2" t="inlineStr">
        <is>
          <t>Anchor customer_id</t>
        </is>
      </c>
      <c r="B11" s="2" t="n"/>
      <c r="C11" s="10" t="n">
        <v>87</v>
      </c>
      <c r="D11" s="2" t="n"/>
    </row>
    <row r="12">
      <c r="A12" s="2" t="inlineStr">
        <is>
          <t>Top N states</t>
        </is>
      </c>
      <c r="B12" s="2" t="n"/>
      <c r="C12" s="10" t="n">
        <v>10</v>
      </c>
      <c r="D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28" customWidth="1" min="4" max="4"/>
    <col width="14" customWidth="1" min="5" max="5"/>
    <col width="20" customWidth="1" min="6" max="6"/>
  </cols>
  <sheetData>
    <row r="1">
      <c r="A1" s="1" t="inlineStr">
        <is>
          <t>Calibration calendar: 1 person, 1 form per day</t>
        </is>
      </c>
      <c r="B1" s="2" t="n"/>
      <c r="C1" s="2" t="n"/>
      <c r="D1" s="2" t="n"/>
      <c r="E1" s="2" t="n"/>
      <c r="F1" s="2" t="n"/>
    </row>
    <row r="2">
      <c r="A2" s="3" t="inlineStr">
        <is>
          <t>Snapshot of the base-weight order. Wave 1 = the main form in each top-10 state (TX gets both forms, per D02). Wave 2 = the remaining forms by volume.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Day</t>
        </is>
      </c>
      <c r="B4" s="6" t="inlineStr">
        <is>
          <t>Wave</t>
        </is>
      </c>
      <c r="C4" s="6" t="inlineStr">
        <is>
          <t>State</t>
        </is>
      </c>
      <c r="D4" s="6" t="inlineStr">
        <is>
          <t>Form</t>
        </is>
      </c>
      <c r="E4" s="6" t="inlineStr">
        <is>
          <t>Recent volume</t>
        </is>
      </c>
      <c r="F4" s="6" t="inlineStr">
        <is>
          <t>Cumulative % of transactions covered</t>
        </is>
      </c>
    </row>
    <row r="5">
      <c r="A5" s="2" t="n">
        <v>1</v>
      </c>
      <c r="B5" s="2" t="n">
        <v>1</v>
      </c>
      <c r="C5" s="10" t="inlineStr">
        <is>
          <t>Texas</t>
        </is>
      </c>
      <c r="D5" s="10" t="inlineStr">
        <is>
          <t>New vehicle transaction</t>
        </is>
      </c>
      <c r="E5" s="11">
        <f>COUNTIFS(Transactions!$B$2:$B$201,C5,Transactions!$D$2:$D$201,D5)</f>
        <v/>
      </c>
      <c r="F5" s="18">
        <f>SUM($E$5:E5)/COUNTA(Transactions!$A$2:$A$201)</f>
        <v/>
      </c>
    </row>
    <row r="6">
      <c r="A6" s="2" t="n">
        <v>2</v>
      </c>
      <c r="B6" s="2" t="n">
        <v>1</v>
      </c>
      <c r="C6" s="10" t="inlineStr">
        <is>
          <t>Texas</t>
        </is>
      </c>
      <c r="D6" s="10" t="inlineStr">
        <is>
          <t>Used vehicle transaction</t>
        </is>
      </c>
      <c r="E6" s="11">
        <f>COUNTIFS(Transactions!$B$2:$B$201,C6,Transactions!$D$2:$D$201,D6)</f>
        <v/>
      </c>
      <c r="F6" s="18">
        <f>SUM($E$5:E6)/COUNTA(Transactions!$A$2:$A$201)</f>
        <v/>
      </c>
    </row>
    <row r="7">
      <c r="A7" s="2" t="n">
        <v>3</v>
      </c>
      <c r="B7" s="2" t="n">
        <v>1</v>
      </c>
      <c r="C7" s="10" t="inlineStr">
        <is>
          <t>Alabama</t>
        </is>
      </c>
      <c r="D7" s="10" t="inlineStr">
        <is>
          <t>Used vehicle transaction</t>
        </is>
      </c>
      <c r="E7" s="11">
        <f>COUNTIFS(Transactions!$B$2:$B$201,C7,Transactions!$D$2:$D$201,D7)</f>
        <v/>
      </c>
      <c r="F7" s="18">
        <f>SUM($E$5:E7)/COUNTA(Transactions!$A$2:$A$201)</f>
        <v/>
      </c>
    </row>
    <row r="8">
      <c r="A8" s="2" t="n">
        <v>4</v>
      </c>
      <c r="B8" s="2" t="n">
        <v>1</v>
      </c>
      <c r="C8" s="10" t="inlineStr">
        <is>
          <t>Arizona</t>
        </is>
      </c>
      <c r="D8" s="10" t="inlineStr">
        <is>
          <t>Used vehicle transaction</t>
        </is>
      </c>
      <c r="E8" s="11">
        <f>COUNTIFS(Transactions!$B$2:$B$201,C8,Transactions!$D$2:$D$201,D8)</f>
        <v/>
      </c>
      <c r="F8" s="18">
        <f>SUM($E$5:E8)/COUNTA(Transactions!$A$2:$A$201)</f>
        <v/>
      </c>
    </row>
    <row r="9">
      <c r="A9" s="2" t="n">
        <v>5</v>
      </c>
      <c r="B9" s="2" t="n">
        <v>1</v>
      </c>
      <c r="C9" s="10" t="inlineStr">
        <is>
          <t>Georgia</t>
        </is>
      </c>
      <c r="D9" s="10" t="inlineStr">
        <is>
          <t>New vehicle transaction</t>
        </is>
      </c>
      <c r="E9" s="11">
        <f>COUNTIFS(Transactions!$B$2:$B$201,C9,Transactions!$D$2:$D$201,D9)</f>
        <v/>
      </c>
      <c r="F9" s="18">
        <f>SUM($E$5:E9)/COUNTA(Transactions!$A$2:$A$201)</f>
        <v/>
      </c>
    </row>
    <row r="10">
      <c r="A10" s="2" t="n">
        <v>6</v>
      </c>
      <c r="B10" s="2" t="n">
        <v>1</v>
      </c>
      <c r="C10" s="10" t="inlineStr">
        <is>
          <t>Florida</t>
        </is>
      </c>
      <c r="D10" s="10" t="inlineStr">
        <is>
          <t>New vehicle transaction</t>
        </is>
      </c>
      <c r="E10" s="11">
        <f>COUNTIFS(Transactions!$B$2:$B$201,C10,Transactions!$D$2:$D$201,D10)</f>
        <v/>
      </c>
      <c r="F10" s="18">
        <f>SUM($E$5:E10)/COUNTA(Transactions!$A$2:$A$201)</f>
        <v/>
      </c>
    </row>
    <row r="11">
      <c r="A11" s="2" t="n">
        <v>7</v>
      </c>
      <c r="B11" s="2" t="n">
        <v>1</v>
      </c>
      <c r="C11" s="10" t="inlineStr">
        <is>
          <t>Tennessee</t>
        </is>
      </c>
      <c r="D11" s="10" t="inlineStr">
        <is>
          <t>New vehicle transaction</t>
        </is>
      </c>
      <c r="E11" s="11">
        <f>COUNTIFS(Transactions!$B$2:$B$201,C11,Transactions!$D$2:$D$201,D11)</f>
        <v/>
      </c>
      <c r="F11" s="18">
        <f>SUM($E$5:E11)/COUNTA(Transactions!$A$2:$A$201)</f>
        <v/>
      </c>
    </row>
    <row r="12">
      <c r="A12" s="2" t="n">
        <v>8</v>
      </c>
      <c r="B12" s="2" t="n">
        <v>1</v>
      </c>
      <c r="C12" s="10" t="inlineStr">
        <is>
          <t>Colorado</t>
        </is>
      </c>
      <c r="D12" s="10" t="inlineStr">
        <is>
          <t>New vehicle transaction</t>
        </is>
      </c>
      <c r="E12" s="11">
        <f>COUNTIFS(Transactions!$B$2:$B$201,C12,Transactions!$D$2:$D$201,D12)</f>
        <v/>
      </c>
      <c r="F12" s="18">
        <f>SUM($E$5:E12)/COUNTA(Transactions!$A$2:$A$201)</f>
        <v/>
      </c>
    </row>
    <row r="13">
      <c r="A13" s="2" t="n">
        <v>9</v>
      </c>
      <c r="B13" s="2" t="n">
        <v>1</v>
      </c>
      <c r="C13" s="10" t="inlineStr">
        <is>
          <t>Virginia</t>
        </is>
      </c>
      <c r="D13" s="10" t="inlineStr">
        <is>
          <t>Used vehicle transaction</t>
        </is>
      </c>
      <c r="E13" s="11">
        <f>COUNTIFS(Transactions!$B$2:$B$201,C13,Transactions!$D$2:$D$201,D13)</f>
        <v/>
      </c>
      <c r="F13" s="18">
        <f>SUM($E$5:E13)/COUNTA(Transactions!$A$2:$A$201)</f>
        <v/>
      </c>
    </row>
    <row r="14">
      <c r="A14" s="2" t="n">
        <v>10</v>
      </c>
      <c r="B14" s="2" t="n">
        <v>1</v>
      </c>
      <c r="C14" s="10" t="inlineStr">
        <is>
          <t>California</t>
        </is>
      </c>
      <c r="D14" s="10" t="inlineStr">
        <is>
          <t>New vehicle transaction</t>
        </is>
      </c>
      <c r="E14" s="11">
        <f>COUNTIFS(Transactions!$B$2:$B$201,C14,Transactions!$D$2:$D$201,D14)</f>
        <v/>
      </c>
      <c r="F14" s="18">
        <f>SUM($E$5:E14)/COUNTA(Transactions!$A$2:$A$201)</f>
        <v/>
      </c>
    </row>
    <row r="15">
      <c r="A15" s="2" t="n">
        <v>11</v>
      </c>
      <c r="B15" s="2" t="n">
        <v>1</v>
      </c>
      <c r="C15" s="10" t="inlineStr">
        <is>
          <t>Pennsylvania</t>
        </is>
      </c>
      <c r="D15" s="10" t="inlineStr">
        <is>
          <t>Used vehicle transaction</t>
        </is>
      </c>
      <c r="E15" s="11">
        <f>COUNTIFS(Transactions!$B$2:$B$201,C15,Transactions!$D$2:$D$201,D15)</f>
        <v/>
      </c>
      <c r="F15" s="18">
        <f>SUM($E$5:E15)/COUNTA(Transactions!$A$2:$A$201)</f>
        <v/>
      </c>
    </row>
    <row r="16">
      <c r="A16" s="2" t="n">
        <v>12</v>
      </c>
      <c r="B16" s="2" t="n">
        <v>2</v>
      </c>
      <c r="C16" s="10" t="inlineStr">
        <is>
          <t>Colorado</t>
        </is>
      </c>
      <c r="D16" s="10" t="inlineStr">
        <is>
          <t>Used vehicle transaction</t>
        </is>
      </c>
      <c r="E16" s="11">
        <f>COUNTIFS(Transactions!$B$2:$B$201,C16,Transactions!$D$2:$D$201,D16)</f>
        <v/>
      </c>
      <c r="F16" s="18">
        <f>SUM($E$5:E16)/COUNTA(Transactions!$A$2:$A$201)</f>
        <v/>
      </c>
    </row>
    <row r="17">
      <c r="A17" s="2" t="n">
        <v>13</v>
      </c>
      <c r="B17" s="2" t="n">
        <v>2</v>
      </c>
      <c r="C17" s="10" t="inlineStr">
        <is>
          <t>Arizona</t>
        </is>
      </c>
      <c r="D17" s="10" t="inlineStr">
        <is>
          <t>New vehicle transaction</t>
        </is>
      </c>
      <c r="E17" s="11">
        <f>COUNTIFS(Transactions!$B$2:$B$201,C17,Transactions!$D$2:$D$201,D17)</f>
        <v/>
      </c>
      <c r="F17" s="18">
        <f>SUM($E$5:E17)/COUNTA(Transactions!$A$2:$A$201)</f>
        <v/>
      </c>
    </row>
    <row r="18">
      <c r="A18" s="2" t="n">
        <v>14</v>
      </c>
      <c r="B18" s="2" t="n">
        <v>2</v>
      </c>
      <c r="C18" s="10" t="inlineStr">
        <is>
          <t>Florida</t>
        </is>
      </c>
      <c r="D18" s="10" t="inlineStr">
        <is>
          <t>Used vehicle transaction</t>
        </is>
      </c>
      <c r="E18" s="11">
        <f>COUNTIFS(Transactions!$B$2:$B$201,C18,Transactions!$D$2:$D$201,D18)</f>
        <v/>
      </c>
      <c r="F18" s="18">
        <f>SUM($E$5:E18)/COUNTA(Transactions!$A$2:$A$201)</f>
        <v/>
      </c>
    </row>
    <row r="19">
      <c r="A19" s="2" t="n">
        <v>15</v>
      </c>
      <c r="B19" s="2" t="n">
        <v>2</v>
      </c>
      <c r="C19" s="10" t="inlineStr">
        <is>
          <t>Alabama</t>
        </is>
      </c>
      <c r="D19" s="10" t="inlineStr">
        <is>
          <t>New vehicle transaction</t>
        </is>
      </c>
      <c r="E19" s="11">
        <f>COUNTIFS(Transactions!$B$2:$B$201,C19,Transactions!$D$2:$D$201,D19)</f>
        <v/>
      </c>
      <c r="F19" s="18">
        <f>SUM($E$5:E19)/COUNTA(Transactions!$A$2:$A$201)</f>
        <v/>
      </c>
    </row>
    <row r="20">
      <c r="A20" s="2" t="n">
        <v>16</v>
      </c>
      <c r="B20" s="2" t="n">
        <v>2</v>
      </c>
      <c r="C20" s="10" t="inlineStr">
        <is>
          <t>Pennsylvania</t>
        </is>
      </c>
      <c r="D20" s="10" t="inlineStr">
        <is>
          <t>New vehicle transaction</t>
        </is>
      </c>
      <c r="E20" s="11">
        <f>COUNTIFS(Transactions!$B$2:$B$201,C20,Transactions!$D$2:$D$201,D20)</f>
        <v/>
      </c>
      <c r="F20" s="18">
        <f>SUM($E$5:E20)/COUNTA(Transactions!$A$2:$A$201)</f>
        <v/>
      </c>
    </row>
    <row r="21">
      <c r="A21" s="2" t="n">
        <v>17</v>
      </c>
      <c r="B21" s="2" t="n">
        <v>2</v>
      </c>
      <c r="C21" s="10" t="inlineStr">
        <is>
          <t>Georgia</t>
        </is>
      </c>
      <c r="D21" s="10" t="inlineStr">
        <is>
          <t>Used vehicle transaction</t>
        </is>
      </c>
      <c r="E21" s="11">
        <f>COUNTIFS(Transactions!$B$2:$B$201,C21,Transactions!$D$2:$D$201,D21)</f>
        <v/>
      </c>
      <c r="F21" s="18">
        <f>SUM($E$5:E21)/COUNTA(Transactions!$A$2:$A$201)</f>
        <v/>
      </c>
    </row>
    <row r="22">
      <c r="A22" s="2" t="n">
        <v>18</v>
      </c>
      <c r="B22" s="2" t="n">
        <v>2</v>
      </c>
      <c r="C22" s="10" t="inlineStr">
        <is>
          <t>Tennessee</t>
        </is>
      </c>
      <c r="D22" s="10" t="inlineStr">
        <is>
          <t>Used vehicle transaction</t>
        </is>
      </c>
      <c r="E22" s="11">
        <f>COUNTIFS(Transactions!$B$2:$B$201,C22,Transactions!$D$2:$D$201,D22)</f>
        <v/>
      </c>
      <c r="F22" s="18">
        <f>SUM($E$5:E22)/COUNTA(Transactions!$A$2:$A$201)</f>
        <v/>
      </c>
    </row>
    <row r="23">
      <c r="A23" s="2" t="n">
        <v>19</v>
      </c>
      <c r="B23" s="2" t="n">
        <v>2</v>
      </c>
      <c r="C23" s="10" t="inlineStr">
        <is>
          <t>California</t>
        </is>
      </c>
      <c r="D23" s="10" t="inlineStr">
        <is>
          <t>Used vehicle transaction</t>
        </is>
      </c>
      <c r="E23" s="11">
        <f>COUNTIFS(Transactions!$B$2:$B$201,C23,Transactions!$D$2:$D$201,D23)</f>
        <v/>
      </c>
      <c r="F23" s="18">
        <f>SUM($E$5:E23)/COUNTA(Transactions!$A$2:$A$201)</f>
        <v/>
      </c>
    </row>
    <row r="24">
      <c r="A24" s="2" t="n">
        <v>20</v>
      </c>
      <c r="B24" s="2" t="n">
        <v>2</v>
      </c>
      <c r="C24" s="10" t="inlineStr">
        <is>
          <t>Virginia</t>
        </is>
      </c>
      <c r="D24" s="10" t="inlineStr">
        <is>
          <t>New vehicle transaction</t>
        </is>
      </c>
      <c r="E24" s="11">
        <f>COUNTIFS(Transactions!$B$2:$B$201,C24,Transactions!$D$2:$D$201,D24)</f>
        <v/>
      </c>
      <c r="F24" s="18">
        <f>SUM($E$5:E24)/COUNTA(Transactions!$A$2:$A$201)</f>
        <v/>
      </c>
    </row>
    <row r="25">
      <c r="A25" s="2" t="n"/>
      <c r="B25" s="2" t="n"/>
      <c r="C25" s="2" t="n"/>
      <c r="D25" s="2" t="n"/>
      <c r="E25" s="2" t="n"/>
      <c r="F25" s="2" t="n"/>
    </row>
    <row r="26">
      <c r="A26" s="3" t="inlineStr">
        <is>
          <t>Assumption: 2 forms per state (new-vehicle title and used/transfer title). Replace with the real form list per state before committing.</t>
        </is>
      </c>
      <c r="B26" s="2" t="n"/>
      <c r="C26" s="2" t="n"/>
      <c r="D26" s="2" t="n"/>
      <c r="E26" s="2" t="n"/>
      <c r="F2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0" customWidth="1" min="4" max="4"/>
    <col width="11" customWidth="1" min="5" max="5"/>
  </cols>
  <sheetData>
    <row r="1">
      <c r="A1" s="1" t="inlineStr">
        <is>
          <t>Sensitivity: does the top 10 hold if the weights move?</t>
        </is>
      </c>
      <c r="B1" s="2" t="n"/>
      <c r="C1" s="2" t="n"/>
      <c r="D1" s="2" t="n"/>
      <c r="E1" s="2" t="n"/>
    </row>
    <row r="2">
      <c r="A2" s="3" t="inlineStr">
        <is>
          <t>Snapshot from analysis.py: each weight is shifted +/-10pp (the others rescaled) = 11 scenarios including the base.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State</t>
        </is>
      </c>
      <c r="B4" s="6" t="inlineStr">
        <is>
          <t>Times in top 10</t>
        </is>
      </c>
      <c r="C4" s="6" t="inlineStr">
        <is>
          <t>Scenarios</t>
        </is>
      </c>
      <c r="D4" s="6" t="inlineStr">
        <is>
          <t>Best rank</t>
        </is>
      </c>
      <c r="E4" s="6" t="inlineStr">
        <is>
          <t>Worst rank</t>
        </is>
      </c>
    </row>
    <row r="5">
      <c r="A5" s="10" t="inlineStr">
        <is>
          <t>Texas</t>
        </is>
      </c>
      <c r="B5" s="10" t="n">
        <v>11</v>
      </c>
      <c r="C5" s="10" t="n">
        <v>11</v>
      </c>
      <c r="D5" s="10" t="n">
        <v>1</v>
      </c>
      <c r="E5" s="10" t="n">
        <v>1</v>
      </c>
    </row>
    <row r="6">
      <c r="A6" s="10" t="inlineStr">
        <is>
          <t>Alabama</t>
        </is>
      </c>
      <c r="B6" s="10" t="n">
        <v>11</v>
      </c>
      <c r="C6" s="10" t="n">
        <v>11</v>
      </c>
      <c r="D6" s="10" t="n">
        <v>2</v>
      </c>
      <c r="E6" s="10" t="n">
        <v>2</v>
      </c>
    </row>
    <row r="7">
      <c r="A7" s="10" t="inlineStr">
        <is>
          <t>Arizona</t>
        </is>
      </c>
      <c r="B7" s="10" t="n">
        <v>11</v>
      </c>
      <c r="C7" s="10" t="n">
        <v>11</v>
      </c>
      <c r="D7" s="10" t="n">
        <v>3</v>
      </c>
      <c r="E7" s="10" t="n">
        <v>4</v>
      </c>
    </row>
    <row r="8">
      <c r="A8" s="10" t="inlineStr">
        <is>
          <t>Florida</t>
        </is>
      </c>
      <c r="B8" s="10" t="n">
        <v>11</v>
      </c>
      <c r="C8" s="10" t="n">
        <v>11</v>
      </c>
      <c r="D8" s="10" t="n">
        <v>3</v>
      </c>
      <c r="E8" s="10" t="n">
        <v>5</v>
      </c>
    </row>
    <row r="9">
      <c r="A9" s="10" t="inlineStr">
        <is>
          <t>Georgia</t>
        </is>
      </c>
      <c r="B9" s="10" t="n">
        <v>11</v>
      </c>
      <c r="C9" s="10" t="n">
        <v>11</v>
      </c>
      <c r="D9" s="10" t="n">
        <v>3</v>
      </c>
      <c r="E9" s="10" t="n">
        <v>5</v>
      </c>
    </row>
    <row r="10">
      <c r="A10" s="10" t="inlineStr">
        <is>
          <t>Colorado</t>
        </is>
      </c>
      <c r="B10" s="10" t="n">
        <v>11</v>
      </c>
      <c r="C10" s="10" t="n">
        <v>11</v>
      </c>
      <c r="D10" s="10" t="n">
        <v>6</v>
      </c>
      <c r="E10" s="10" t="n">
        <v>8</v>
      </c>
    </row>
    <row r="11">
      <c r="A11" s="10" t="inlineStr">
        <is>
          <t>Tennessee</t>
        </is>
      </c>
      <c r="B11" s="10" t="n">
        <v>11</v>
      </c>
      <c r="C11" s="10" t="n">
        <v>11</v>
      </c>
      <c r="D11" s="10" t="n">
        <v>6</v>
      </c>
      <c r="E11" s="10" t="n">
        <v>7</v>
      </c>
    </row>
    <row r="12">
      <c r="A12" s="10" t="inlineStr">
        <is>
          <t>Pennsylvania</t>
        </is>
      </c>
      <c r="B12" s="10" t="n">
        <v>11</v>
      </c>
      <c r="C12" s="10" t="n">
        <v>11</v>
      </c>
      <c r="D12" s="10" t="n">
        <v>9</v>
      </c>
      <c r="E12" s="10" t="n">
        <v>10</v>
      </c>
    </row>
    <row r="13">
      <c r="A13" s="10" t="inlineStr">
        <is>
          <t>California</t>
        </is>
      </c>
      <c r="B13" s="10" t="n">
        <v>10</v>
      </c>
      <c r="C13" s="10" t="n">
        <v>11</v>
      </c>
      <c r="D13" s="10" t="n">
        <v>8</v>
      </c>
      <c r="E13" s="10" t="n">
        <v>10</v>
      </c>
    </row>
    <row r="14">
      <c r="A14" s="10" t="inlineStr">
        <is>
          <t>Virginia</t>
        </is>
      </c>
      <c r="B14" s="10" t="n">
        <v>9</v>
      </c>
      <c r="C14" s="10" t="n">
        <v>11</v>
      </c>
      <c r="D14" s="10" t="n">
        <v>7</v>
      </c>
      <c r="E14" s="10" t="n">
        <v>10</v>
      </c>
    </row>
    <row r="15">
      <c r="A15" s="10" t="inlineStr">
        <is>
          <t>Arkansas</t>
        </is>
      </c>
      <c r="B15" s="10" t="n">
        <v>3</v>
      </c>
      <c r="C15" s="10" t="n">
        <v>11</v>
      </c>
      <c r="D15" s="10" t="n">
        <v>8</v>
      </c>
      <c r="E15" s="1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3" customWidth="1" min="4" max="4"/>
    <col width="11" customWidth="1" min="5" max="5"/>
    <col width="14" customWidth="1" min="6" max="6"/>
    <col width="13" customWidth="1" min="7" max="7"/>
    <col width="16" customWidth="1" min="8" max="8"/>
    <col width="22" customWidth="1" min="9" max="9"/>
    <col width="50" customWidth="1" min="10" max="10"/>
    <col width="11" customWidth="1" min="11" max="11"/>
    <col width="11" customWidth="1" min="12" max="12"/>
    <col width="9" customWidth="1" min="13" max="13"/>
    <col width="9" customWidth="1" min="14" max="14"/>
    <col width="15" customWidth="1" min="15" max="15"/>
    <col width="8" customWidth="1" min="16" max="16"/>
    <col width="60" customWidth="1" min="17" max="17"/>
  </cols>
  <sheetData>
    <row r="1">
      <c r="A1" s="1" t="inlineStr">
        <is>
          <t>Sales pipeline and Autofill adjustments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Blue = inputs (raw data, haircuts, exclusions). Adjusted value = value x probability x haircut, counted only if the deal includes Autofill.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6" t="inlineStr">
        <is>
          <t>deal_id</t>
        </is>
      </c>
      <c r="B4" s="6" t="inlineStr">
        <is>
          <t>account</t>
        </is>
      </c>
      <c r="C4" s="6" t="inlineStr">
        <is>
          <t>segment</t>
        </is>
      </c>
      <c r="D4" s="6" t="inlineStr">
        <is>
          <t>stage</t>
        </is>
      </c>
      <c r="E4" s="6" t="inlineStr">
        <is>
          <t>close_probability</t>
        </is>
      </c>
      <c r="F4" s="6" t="inlineStr">
        <is>
          <t>annual_value_usd</t>
        </is>
      </c>
      <c r="G4" s="6" t="inlineStr">
        <is>
          <t>expected_close</t>
        </is>
      </c>
      <c r="H4" s="6" t="inlineStr">
        <is>
          <t>products</t>
        </is>
      </c>
      <c r="I4" s="6" t="inlineStr">
        <is>
          <t>states</t>
        </is>
      </c>
      <c r="J4" s="6" t="inlineStr">
        <is>
          <t>notes</t>
        </is>
      </c>
      <c r="K4" s="6" t="inlineStr">
        <is>
          <t>Includes Autofill?</t>
        </is>
      </c>
      <c r="L4" s="6" t="inlineStr">
        <is>
          <t>Excluded? (1=yes)</t>
        </is>
      </c>
      <c r="M4" s="6" t="inlineStr">
        <is>
          <t>Haircut</t>
        </is>
      </c>
      <c r="N4" s="6" t="inlineStr">
        <is>
          <t>Counted?</t>
        </is>
      </c>
      <c r="O4" s="6" t="inlineStr">
        <is>
          <t>Adjusted value ($)</t>
        </is>
      </c>
      <c r="P4" s="6" t="inlineStr">
        <is>
          <t># states</t>
        </is>
      </c>
      <c r="Q4" s="6" t="inlineStr">
        <is>
          <t>Adjustment reason</t>
        </is>
      </c>
    </row>
    <row r="5">
      <c r="A5" s="10" t="inlineStr">
        <is>
          <t>D01</t>
        </is>
      </c>
      <c r="B5" s="10" t="inlineStr">
        <is>
          <t>Existing customer 87</t>
        </is>
      </c>
      <c r="C5" s="10" t="inlineStr">
        <is>
          <t>Fleet management</t>
        </is>
      </c>
      <c r="D5" s="10" t="inlineStr">
        <is>
          <t>Proposal</t>
        </is>
      </c>
      <c r="E5" s="19" t="n">
        <v>0.6</v>
      </c>
      <c r="F5" s="20" t="n">
        <v>180000</v>
      </c>
      <c r="G5" s="10" t="inlineStr">
        <is>
          <t>2026-11-15</t>
        </is>
      </c>
      <c r="H5" s="10" t="inlineStr">
        <is>
          <t>Autofill</t>
        </is>
      </c>
      <c r="I5" s="10" t="inlineStr">
        <is>
          <t>All 50</t>
        </is>
      </c>
      <c r="J5" s="10" t="inlineStr">
        <is>
          <t>Expansion. Already uses Audit in 30+ states. Wants Autofill everywhere they operate.</t>
        </is>
      </c>
      <c r="K5" s="2">
        <f>IF(OR(ISNUMBER(SEARCH("Autofill",H5)),ISNUMBER(SEARCH("Complete",H5))),1,0)</f>
        <v/>
      </c>
      <c r="L5" s="10" t="n">
        <v>0</v>
      </c>
      <c r="M5" s="19" t="n">
        <v>1</v>
      </c>
      <c r="N5" s="2">
        <f>IF(AND(K5=1,L5=0,E5&gt;0),1,0)</f>
        <v/>
      </c>
      <c r="O5" s="14">
        <f>N5*F5*E5*M5</f>
        <v/>
      </c>
      <c r="P5" s="10" t="n">
        <v>50</v>
      </c>
      <c r="Q5" s="13" t="inlineStr"/>
    </row>
    <row r="6">
      <c r="A6" s="10" t="inlineStr">
        <is>
          <t>D02</t>
        </is>
      </c>
      <c r="B6" s="10" t="inlineStr">
        <is>
          <t>Existing customer 110 / 121</t>
        </is>
      </c>
      <c r="C6" s="10" t="inlineStr">
        <is>
          <t>Fleet management</t>
        </is>
      </c>
      <c r="D6" s="10" t="inlineStr">
        <is>
          <t>Negotiation</t>
        </is>
      </c>
      <c r="E6" s="19" t="n">
        <v>0.8</v>
      </c>
      <c r="F6" s="20" t="n">
        <v>150000</v>
      </c>
      <c r="G6" s="10" t="inlineStr">
        <is>
          <t>2026-10-31</t>
        </is>
      </c>
      <c r="H6" s="10" t="inlineStr">
        <is>
          <t>Autofill</t>
        </is>
      </c>
      <c r="I6" s="10" t="inlineStr">
        <is>
          <t>TX, FL, AZ</t>
        </is>
      </c>
      <c r="J6" s="10" t="inlineStr">
        <is>
          <t>Expansion. Pricing agreed; wants Texas live first.</t>
        </is>
      </c>
      <c r="K6" s="2">
        <f>IF(OR(ISNUMBER(SEARCH("Autofill",H6)),ISNUMBER(SEARCH("Complete",H6))),1,0)</f>
        <v/>
      </c>
      <c r="L6" s="10" t="n">
        <v>0</v>
      </c>
      <c r="M6" s="19" t="n">
        <v>1</v>
      </c>
      <c r="N6" s="2">
        <f>IF(AND(K6=1,L6=0,E6&gt;0),1,0)</f>
        <v/>
      </c>
      <c r="O6" s="14">
        <f>N6*F6*E6*M6</f>
        <v/>
      </c>
      <c r="P6" s="10" t="n">
        <v>3</v>
      </c>
      <c r="Q6" s="13" t="inlineStr"/>
    </row>
    <row r="7">
      <c r="A7" s="10" t="inlineStr">
        <is>
          <t>D03</t>
        </is>
      </c>
      <c r="B7" s="10" t="inlineStr">
        <is>
          <t>Lone Star Auto Group</t>
        </is>
      </c>
      <c r="C7" s="10" t="inlineStr">
        <is>
          <t>Dealer group</t>
        </is>
      </c>
      <c r="D7" s="10" t="inlineStr">
        <is>
          <t>POC</t>
        </is>
      </c>
      <c r="E7" s="19" t="n">
        <v>0.35</v>
      </c>
      <c r="F7" s="20" t="n">
        <v>420000</v>
      </c>
      <c r="G7" s="10" t="inlineStr">
        <is>
          <t>2027-01-15</t>
        </is>
      </c>
      <c r="H7" s="10" t="inlineStr">
        <is>
          <t>Audit + Autofill</t>
        </is>
      </c>
      <c r="I7" s="10" t="inlineStr">
        <is>
          <t>TX</t>
        </is>
      </c>
      <c r="J7" s="10" t="inlineStr">
        <is>
          <t>25 rooftops. POC scored on Autofill accuracy.</t>
        </is>
      </c>
      <c r="K7" s="2">
        <f>IF(OR(ISNUMBER(SEARCH("Autofill",H7)),ISNUMBER(SEARCH("Complete",H7))),1,0)</f>
        <v/>
      </c>
      <c r="L7" s="10" t="n">
        <v>0</v>
      </c>
      <c r="M7" s="19" t="n">
        <v>1</v>
      </c>
      <c r="N7" s="2">
        <f>IF(AND(K7=1,L7=0,E7&gt;0),1,0)</f>
        <v/>
      </c>
      <c r="O7" s="14">
        <f>N7*F7*E7*M7</f>
        <v/>
      </c>
      <c r="P7" s="10" t="n">
        <v>1</v>
      </c>
      <c r="Q7" s="13" t="inlineStr"/>
    </row>
    <row r="8">
      <c r="A8" s="10" t="inlineStr">
        <is>
          <t>D04</t>
        </is>
      </c>
      <c r="B8" s="10" t="inlineStr">
        <is>
          <t>Sunshine Tag Services</t>
        </is>
      </c>
      <c r="C8" s="10" t="inlineStr">
        <is>
          <t>Tag agency</t>
        </is>
      </c>
      <c r="D8" s="10" t="inlineStr">
        <is>
          <t>Qualified</t>
        </is>
      </c>
      <c r="E8" s="19" t="n">
        <v>0.2</v>
      </c>
      <c r="F8" s="20" t="n">
        <v>65000</v>
      </c>
      <c r="G8" s="10" t="inlineStr">
        <is>
          <t>2026-12-15</t>
        </is>
      </c>
      <c r="H8" s="10" t="inlineStr">
        <is>
          <t>Autofill</t>
        </is>
      </c>
      <c r="I8" s="10" t="inlineStr">
        <is>
          <t>FL</t>
        </is>
      </c>
      <c r="J8" s="10" t="inlineStr"/>
      <c r="K8" s="2">
        <f>IF(OR(ISNUMBER(SEARCH("Autofill",H8)),ISNUMBER(SEARCH("Complete",H8))),1,0)</f>
        <v/>
      </c>
      <c r="L8" s="10" t="n">
        <v>0</v>
      </c>
      <c r="M8" s="19" t="n">
        <v>1</v>
      </c>
      <c r="N8" s="2">
        <f>IF(AND(K8=1,L8=0,E8&gt;0),1,0)</f>
        <v/>
      </c>
      <c r="O8" s="14">
        <f>N8*F8*E8*M8</f>
        <v/>
      </c>
      <c r="P8" s="10" t="n">
        <v>1</v>
      </c>
      <c r="Q8" s="13" t="inlineStr"/>
    </row>
    <row r="9">
      <c r="A9" s="10" t="inlineStr">
        <is>
          <t>D05</t>
        </is>
      </c>
      <c r="B9" s="10" t="inlineStr">
        <is>
          <t>Pacific Coast Remarketing</t>
        </is>
      </c>
      <c r="C9" s="10" t="inlineStr">
        <is>
          <t>Auction</t>
        </is>
      </c>
      <c r="D9" s="10" t="inlineStr">
        <is>
          <t>Discovery</t>
        </is>
      </c>
      <c r="E9" s="19" t="n">
        <v>0.1</v>
      </c>
      <c r="F9" s="20" t="n">
        <v>900000</v>
      </c>
      <c r="G9" s="10" t="inlineStr">
        <is>
          <t>2027-06-30</t>
        </is>
      </c>
      <c r="H9" s="10" t="inlineStr">
        <is>
          <t>Complete</t>
        </is>
      </c>
      <c r="I9" s="10" t="inlineStr">
        <is>
          <t>CA, OR, WA, NV, AZ</t>
        </is>
      </c>
      <c r="J9" s="10" t="inlineStr">
        <is>
          <t>First call held. Amount is rep's estimate.</t>
        </is>
      </c>
      <c r="K9" s="2">
        <f>IF(OR(ISNUMBER(SEARCH("Autofill",H9)),ISNUMBER(SEARCH("Complete",H9))),1,0)</f>
        <v/>
      </c>
      <c r="L9" s="10" t="n">
        <v>0</v>
      </c>
      <c r="M9" s="17" t="n">
        <v>0.5</v>
      </c>
      <c r="N9" s="2">
        <f>IF(AND(K9=1,L9=0,E9&gt;0),1,0)</f>
        <v/>
      </c>
      <c r="O9" s="14">
        <f>N9*F9*E9*M9</f>
        <v/>
      </c>
      <c r="P9" s="10" t="n">
        <v>5</v>
      </c>
      <c r="Q9" s="13" t="inlineStr">
        <is>
          <t>Discovery stage; amount is the rep's estimate after one call</t>
        </is>
      </c>
    </row>
    <row r="10">
      <c r="A10" s="10" t="inlineStr">
        <is>
          <t>D06</t>
        </is>
      </c>
      <c r="B10" s="10" t="inlineStr">
        <is>
          <t>National Fleet Partners</t>
        </is>
      </c>
      <c r="C10" s="10" t="inlineStr">
        <is>
          <t>Fleet management</t>
        </is>
      </c>
      <c r="D10" s="10" t="inlineStr">
        <is>
          <t>Legal Review</t>
        </is>
      </c>
      <c r="E10" s="19" t="n">
        <v>0.5</v>
      </c>
      <c r="F10" s="20" t="n">
        <v>1200000</v>
      </c>
      <c r="G10" s="10" t="inlineStr">
        <is>
          <t>2026-06-30</t>
        </is>
      </c>
      <c r="H10" s="10" t="inlineStr">
        <is>
          <t>Complete</t>
        </is>
      </c>
      <c r="I10" s="10" t="inlineStr">
        <is>
          <t>All 50</t>
        </is>
      </c>
      <c r="J10" s="10" t="inlineStr">
        <is>
          <t>Stuck in legal review since May.</t>
        </is>
      </c>
      <c r="K10" s="2">
        <f>IF(OR(ISNUMBER(SEARCH("Autofill",H10)),ISNUMBER(SEARCH("Complete",H10))),1,0)</f>
        <v/>
      </c>
      <c r="L10" s="10" t="n">
        <v>0</v>
      </c>
      <c r="M10" s="17" t="n">
        <v>0.25</v>
      </c>
      <c r="N10" s="2">
        <f>IF(AND(K10=1,L10=0,E10&gt;0),1,0)</f>
        <v/>
      </c>
      <c r="O10" s="14">
        <f>N10*F10*E10*M10</f>
        <v/>
      </c>
      <c r="P10" s="10" t="n">
        <v>50</v>
      </c>
      <c r="Q10" s="13" t="inlineStr">
        <is>
          <t>Expected close 2026-06-30 already passed; stuck in legal since May</t>
        </is>
      </c>
    </row>
    <row r="11">
      <c r="A11" s="10" t="inlineStr">
        <is>
          <t>D07</t>
        </is>
      </c>
      <c r="B11" s="10" t="inlineStr">
        <is>
          <t>Old Dominion Dealers Association</t>
        </is>
      </c>
      <c r="C11" s="10" t="inlineStr">
        <is>
          <t>Dealer association</t>
        </is>
      </c>
      <c r="D11" s="10" t="inlineStr">
        <is>
          <t>Negotiation</t>
        </is>
      </c>
      <c r="E11" s="19" t="n">
        <v>0.75</v>
      </c>
      <c r="F11" s="20" t="n">
        <v>1500000</v>
      </c>
      <c r="G11" s="10" t="inlineStr">
        <is>
          <t>2026-12-31</t>
        </is>
      </c>
      <c r="H11" s="10" t="inlineStr">
        <is>
          <t>Audit + Autofill</t>
        </is>
      </c>
      <c r="I11" s="10" t="inlineStr">
        <is>
          <t>VA</t>
        </is>
      </c>
      <c r="J11" s="10" t="inlineStr">
        <is>
          <t>Verbal yes. Autofill is a must-have to sign.</t>
        </is>
      </c>
      <c r="K11" s="2">
        <f>IF(OR(ISNUMBER(SEARCH("Autofill",H11)),ISNUMBER(SEARCH("Complete",H11))),1,0)</f>
        <v/>
      </c>
      <c r="L11" s="10" t="n">
        <v>0</v>
      </c>
      <c r="M11" s="19" t="n">
        <v>1</v>
      </c>
      <c r="N11" s="2">
        <f>IF(AND(K11=1,L11=0,E11&gt;0),1,0)</f>
        <v/>
      </c>
      <c r="O11" s="14">
        <f>N11*F11*E11*M11</f>
        <v/>
      </c>
      <c r="P11" s="10" t="n">
        <v>1</v>
      </c>
      <c r="Q11" s="13" t="inlineStr"/>
    </row>
    <row r="12">
      <c r="A12" s="10" t="inlineStr">
        <is>
          <t>D08</t>
        </is>
      </c>
      <c r="B12" s="10" t="inlineStr">
        <is>
          <t>Chesapeake Dealer Alliance</t>
        </is>
      </c>
      <c r="C12" s="10" t="inlineStr">
        <is>
          <t>Dealer association</t>
        </is>
      </c>
      <c r="D12" s="10" t="inlineStr">
        <is>
          <t>Proposal</t>
        </is>
      </c>
      <c r="E12" s="19" t="n">
        <v>0.25</v>
      </c>
      <c r="F12" s="20" t="n">
        <v>2000000</v>
      </c>
      <c r="G12" s="10" t="inlineStr">
        <is>
          <t>2027-03-31</t>
        </is>
      </c>
      <c r="H12" s="10" t="inlineStr">
        <is>
          <t>Audit + Autofill</t>
        </is>
      </c>
      <c r="I12" s="10" t="inlineStr">
        <is>
          <t>MD</t>
        </is>
      </c>
      <c r="J12" s="10" t="inlineStr">
        <is>
          <t>Depends on a state fee bill passing next session.</t>
        </is>
      </c>
      <c r="K12" s="2">
        <f>IF(OR(ISNUMBER(SEARCH("Autofill",H12)),ISNUMBER(SEARCH("Complete",H12))),1,0)</f>
        <v/>
      </c>
      <c r="L12" s="10" t="n">
        <v>0</v>
      </c>
      <c r="M12" s="17" t="n">
        <v>0.5</v>
      </c>
      <c r="N12" s="2">
        <f>IF(AND(K12=1,L12=0,E12&gt;0),1,0)</f>
        <v/>
      </c>
      <c r="O12" s="14">
        <f>N12*F12*E12*M12</f>
        <v/>
      </c>
      <c r="P12" s="10" t="n">
        <v>1</v>
      </c>
      <c r="Q12" s="13" t="inlineStr">
        <is>
          <t>Conditional on a state fee bill passing next session</t>
        </is>
      </c>
    </row>
    <row r="13">
      <c r="A13" s="10" t="inlineStr">
        <is>
          <t>D09</t>
        </is>
      </c>
      <c r="B13" s="10" t="inlineStr">
        <is>
          <t>Peach State Motors</t>
        </is>
      </c>
      <c r="C13" s="10" t="inlineStr">
        <is>
          <t>Dealer group</t>
        </is>
      </c>
      <c r="D13" s="10" t="inlineStr">
        <is>
          <t>Closed Won</t>
        </is>
      </c>
      <c r="E13" s="19" t="n">
        <v>1</v>
      </c>
      <c r="F13" s="20" t="n">
        <v>95000</v>
      </c>
      <c r="G13" s="10" t="inlineStr">
        <is>
          <t>2026-09-15</t>
        </is>
      </c>
      <c r="H13" s="10" t="inlineStr">
        <is>
          <t>Audit + Autofill</t>
        </is>
      </c>
      <c r="I13" s="10" t="inlineStr">
        <is>
          <t>GA, AL, TN</t>
        </is>
      </c>
      <c r="J13" s="10" t="inlineStr">
        <is>
          <t>Signed. Onboarding starts in October; Autofill promised for Q4.</t>
        </is>
      </c>
      <c r="K13" s="2">
        <f>IF(OR(ISNUMBER(SEARCH("Autofill",H13)),ISNUMBER(SEARCH("Complete",H13))),1,0)</f>
        <v/>
      </c>
      <c r="L13" s="10" t="n">
        <v>0</v>
      </c>
      <c r="M13" s="19" t="n">
        <v>1</v>
      </c>
      <c r="N13" s="2">
        <f>IF(AND(K13=1,L13=0,E13&gt;0),1,0)</f>
        <v/>
      </c>
      <c r="O13" s="14">
        <f>N13*F13*E13*M13</f>
        <v/>
      </c>
      <c r="P13" s="10" t="n">
        <v>3</v>
      </c>
      <c r="Q13" s="13" t="inlineStr"/>
    </row>
    <row r="14">
      <c r="A14" s="10" t="inlineStr">
        <is>
          <t>D10</t>
        </is>
      </c>
      <c r="B14" s="10" t="inlineStr">
        <is>
          <t>Midwest Wholesale Auctions</t>
        </is>
      </c>
      <c r="C14" s="10" t="inlineStr">
        <is>
          <t>Auction</t>
        </is>
      </c>
      <c r="D14" s="10" t="inlineStr">
        <is>
          <t>POC</t>
        </is>
      </c>
      <c r="E14" s="19" t="n">
        <v>0.35</v>
      </c>
      <c r="F14" s="20" t="n">
        <v>2500000</v>
      </c>
      <c r="G14" s="10" t="inlineStr">
        <is>
          <t>2027-02-28</t>
        </is>
      </c>
      <c r="H14" s="10" t="inlineStr">
        <is>
          <t>Audit</t>
        </is>
      </c>
      <c r="I14" s="10" t="inlineStr">
        <is>
          <t>IL, IN, OH, MI, WI, MO, IA</t>
        </is>
      </c>
      <c r="J14" s="10" t="inlineStr"/>
      <c r="K14" s="2">
        <f>IF(OR(ISNUMBER(SEARCH("Autofill",H14)),ISNUMBER(SEARCH("Complete",H14))),1,0)</f>
        <v/>
      </c>
      <c r="L14" s="10" t="n">
        <v>1</v>
      </c>
      <c r="M14" s="19" t="n">
        <v>1</v>
      </c>
      <c r="N14" s="2">
        <f>IF(AND(K14=1,L14=0,E14&gt;0),1,0)</f>
        <v/>
      </c>
      <c r="O14" s="14">
        <f>N14*F14*E14*M14</f>
        <v/>
      </c>
      <c r="P14" s="10" t="n">
        <v>7</v>
      </c>
      <c r="Q14" s="13" t="inlineStr">
        <is>
          <t>Audit only; creates no Autofill calibration need</t>
        </is>
      </c>
    </row>
    <row r="15">
      <c r="A15" s="10" t="inlineStr">
        <is>
          <t>D11</t>
        </is>
      </c>
      <c r="B15" s="10" t="inlineStr">
        <is>
          <t>Great Lakes Title Co</t>
        </is>
      </c>
      <c r="C15" s="10" t="inlineStr">
        <is>
          <t>Tag agency</t>
        </is>
      </c>
      <c r="D15" s="10" t="inlineStr">
        <is>
          <t>Discovery</t>
        </is>
      </c>
      <c r="E15" s="19" t="n">
        <v>0.1</v>
      </c>
      <c r="F15" s="20" t="n">
        <v>40000</v>
      </c>
      <c r="G15" s="10" t="inlineStr">
        <is>
          <t>2027-03-31</t>
        </is>
      </c>
      <c r="H15" s="10" t="inlineStr">
        <is>
          <t>Autofill</t>
        </is>
      </c>
      <c r="I15" s="10" t="inlineStr">
        <is>
          <t>MI</t>
        </is>
      </c>
      <c r="J15" s="10" t="inlineStr"/>
      <c r="K15" s="2">
        <f>IF(OR(ISNUMBER(SEARCH("Autofill",H15)),ISNUMBER(SEARCH("Complete",H15))),1,0)</f>
        <v/>
      </c>
      <c r="L15" s="10" t="n">
        <v>0</v>
      </c>
      <c r="M15" s="19" t="n">
        <v>1</v>
      </c>
      <c r="N15" s="2">
        <f>IF(AND(K15=1,L15=0,E15&gt;0),1,0)</f>
        <v/>
      </c>
      <c r="O15" s="14">
        <f>N15*F15*E15*M15</f>
        <v/>
      </c>
      <c r="P15" s="10" t="n">
        <v>1</v>
      </c>
      <c r="Q15" s="13" t="inlineStr"/>
    </row>
    <row r="16">
      <c r="A16" s="10" t="inlineStr">
        <is>
          <t>D12</t>
        </is>
      </c>
      <c r="B16" s="10" t="inlineStr">
        <is>
          <t>Rocky Mountain Fleet</t>
        </is>
      </c>
      <c r="C16" s="10" t="inlineStr">
        <is>
          <t>Fleet management</t>
        </is>
      </c>
      <c r="D16" s="10" t="inlineStr">
        <is>
          <t>Qualified</t>
        </is>
      </c>
      <c r="E16" s="19" t="n">
        <v>0.2</v>
      </c>
      <c r="F16" s="20" t="n">
        <v>210000</v>
      </c>
      <c r="G16" s="10" t="inlineStr">
        <is>
          <t>2027-01-31</t>
        </is>
      </c>
      <c r="H16" s="10" t="inlineStr">
        <is>
          <t>Audit + Autofill</t>
        </is>
      </c>
      <c r="I16" s="10" t="inlineStr">
        <is>
          <t>CO, UT, WY, NM</t>
        </is>
      </c>
      <c r="J16" s="10" t="inlineStr"/>
      <c r="K16" s="2">
        <f>IF(OR(ISNUMBER(SEARCH("Autofill",H16)),ISNUMBER(SEARCH("Complete",H16))),1,0)</f>
        <v/>
      </c>
      <c r="L16" s="10" t="n">
        <v>0</v>
      </c>
      <c r="M16" s="19" t="n">
        <v>1</v>
      </c>
      <c r="N16" s="2">
        <f>IF(AND(K16=1,L16=0,E16&gt;0),1,0)</f>
        <v/>
      </c>
      <c r="O16" s="14">
        <f>N16*F16*E16*M16</f>
        <v/>
      </c>
      <c r="P16" s="10" t="n">
        <v>4</v>
      </c>
      <c r="Q16" s="13" t="inlineStr"/>
    </row>
    <row r="17">
      <c r="A17" s="10" t="inlineStr">
        <is>
          <t>D13</t>
        </is>
      </c>
      <c r="B17" s="10" t="inlineStr">
        <is>
          <t>Coastal Carolina Motors</t>
        </is>
      </c>
      <c r="C17" s="10" t="inlineStr">
        <is>
          <t>Dealer group</t>
        </is>
      </c>
      <c r="D17" s="10" t="inlineStr">
        <is>
          <t>Closed Lost</t>
        </is>
      </c>
      <c r="E17" s="19" t="n">
        <v>0</v>
      </c>
      <c r="F17" s="20" t="n">
        <v>75000</v>
      </c>
      <c r="G17" s="10" t="inlineStr">
        <is>
          <t>2026-08-31</t>
        </is>
      </c>
      <c r="H17" s="10" t="inlineStr">
        <is>
          <t>Audit + Autofill</t>
        </is>
      </c>
      <c r="I17" s="10" t="inlineStr">
        <is>
          <t>NC, SC</t>
        </is>
      </c>
      <c r="J17" s="10" t="inlineStr">
        <is>
          <t>Went with an in-house process.</t>
        </is>
      </c>
      <c r="K17" s="2">
        <f>IF(OR(ISNUMBER(SEARCH("Autofill",H17)),ISNUMBER(SEARCH("Complete",H17))),1,0)</f>
        <v/>
      </c>
      <c r="L17" s="10" t="n">
        <v>0</v>
      </c>
      <c r="M17" s="19" t="n">
        <v>1</v>
      </c>
      <c r="N17" s="2">
        <f>IF(AND(K17=1,L17=0,E17&gt;0),1,0)</f>
        <v/>
      </c>
      <c r="O17" s="14">
        <f>N17*F17*E17*M17</f>
        <v/>
      </c>
      <c r="P17" s="10" t="n">
        <v>2</v>
      </c>
      <c r="Q17" s="13" t="inlineStr">
        <is>
          <t>Closed Lost: 0% probability</t>
        </is>
      </c>
    </row>
    <row r="18">
      <c r="A18" s="10" t="inlineStr">
        <is>
          <t>D14</t>
        </is>
      </c>
      <c r="B18" s="10" t="inlineStr">
        <is>
          <t>Empire Leasing</t>
        </is>
      </c>
      <c r="C18" s="10" t="inlineStr">
        <is>
          <t>Fleet management</t>
        </is>
      </c>
      <c r="D18" s="10" t="inlineStr">
        <is>
          <t>Proposal</t>
        </is>
      </c>
      <c r="E18" s="19" t="n">
        <v>0.45</v>
      </c>
      <c r="F18" s="20" t="n">
        <v>600000</v>
      </c>
      <c r="G18" s="10" t="inlineStr">
        <is>
          <t>2027-01-31</t>
        </is>
      </c>
      <c r="H18" s="10" t="inlineStr">
        <is>
          <t>Audit + Autofill</t>
        </is>
      </c>
      <c r="I18" s="10" t="inlineStr">
        <is>
          <t>NY, NJ, PA, CT, MA</t>
        </is>
      </c>
      <c r="J18" s="10" t="inlineStr"/>
      <c r="K18" s="2">
        <f>IF(OR(ISNUMBER(SEARCH("Autofill",H18)),ISNUMBER(SEARCH("Complete",H18))),1,0)</f>
        <v/>
      </c>
      <c r="L18" s="10" t="n">
        <v>0</v>
      </c>
      <c r="M18" s="19" t="n">
        <v>1</v>
      </c>
      <c r="N18" s="2">
        <f>IF(AND(K18=1,L18=0,E18&gt;0),1,0)</f>
        <v/>
      </c>
      <c r="O18" s="14">
        <f>N18*F18*E18*M18</f>
        <v/>
      </c>
      <c r="P18" s="10" t="n">
        <v>5</v>
      </c>
      <c r="Q18" s="13" t="inlineStr"/>
    </row>
    <row r="19">
      <c r="A19" s="10" t="inlineStr">
        <is>
          <t>D15</t>
        </is>
      </c>
      <c r="B19" s="10" t="inlineStr">
        <is>
          <t>Gulf South Auto</t>
        </is>
      </c>
      <c r="C19" s="10" t="inlineStr">
        <is>
          <t>Dealer group</t>
        </is>
      </c>
      <c r="D19" s="10" t="inlineStr">
        <is>
          <t>POC</t>
        </is>
      </c>
      <c r="E19" s="19" t="n">
        <v>0.35</v>
      </c>
      <c r="F19" s="20" t="n">
        <v>55000</v>
      </c>
      <c r="G19" s="10" t="inlineStr">
        <is>
          <t>2026-12-31</t>
        </is>
      </c>
      <c r="H19" s="10" t="inlineStr">
        <is>
          <t>Autofill</t>
        </is>
      </c>
      <c r="I19" s="10" t="inlineStr">
        <is>
          <t>LA, MS, AL</t>
        </is>
      </c>
      <c r="J19" s="10" t="inlineStr"/>
      <c r="K19" s="2">
        <f>IF(OR(ISNUMBER(SEARCH("Autofill",H19)),ISNUMBER(SEARCH("Complete",H19))),1,0)</f>
        <v/>
      </c>
      <c r="L19" s="10" t="n">
        <v>0</v>
      </c>
      <c r="M19" s="19" t="n">
        <v>1</v>
      </c>
      <c r="N19" s="2">
        <f>IF(AND(K19=1,L19=0,E19&gt;0),1,0)</f>
        <v/>
      </c>
      <c r="O19" s="14">
        <f>N19*F19*E19*M19</f>
        <v/>
      </c>
      <c r="P19" s="10" t="n">
        <v>3</v>
      </c>
      <c r="Q19" s="13" t="inlineStr"/>
    </row>
    <row r="20">
      <c r="A20" s="10" t="inlineStr">
        <is>
          <t>D16</t>
        </is>
      </c>
      <c r="B20" s="10" t="inlineStr">
        <is>
          <t>Heartland Rental Fleet</t>
        </is>
      </c>
      <c r="C20" s="10" t="inlineStr">
        <is>
          <t>Fleet management</t>
        </is>
      </c>
      <c r="D20" s="10" t="inlineStr">
        <is>
          <t>Discovery</t>
        </is>
      </c>
      <c r="E20" s="19" t="n">
        <v>0.1</v>
      </c>
      <c r="F20" s="20" t="n">
        <v>800000</v>
      </c>
      <c r="G20" s="10" t="inlineStr">
        <is>
          <t>2027-09-30</t>
        </is>
      </c>
      <c r="H20" s="10" t="inlineStr">
        <is>
          <t>Complete</t>
        </is>
      </c>
      <c r="I20" s="10" t="inlineStr">
        <is>
          <t>All 50</t>
        </is>
      </c>
      <c r="J20" s="10" t="inlineStr"/>
      <c r="K20" s="2">
        <f>IF(OR(ISNUMBER(SEARCH("Autofill",H20)),ISNUMBER(SEARCH("Complete",H20))),1,0)</f>
        <v/>
      </c>
      <c r="L20" s="10" t="n">
        <v>0</v>
      </c>
      <c r="M20" s="19" t="n">
        <v>1</v>
      </c>
      <c r="N20" s="2">
        <f>IF(AND(K20=1,L20=0,E20&gt;0),1,0)</f>
        <v/>
      </c>
      <c r="O20" s="14">
        <f>N20*F20*E20*M20</f>
        <v/>
      </c>
      <c r="P20" s="10" t="n">
        <v>50</v>
      </c>
      <c r="Q20" s="13" t="inlineStr"/>
    </row>
    <row r="21">
      <c r="A21" s="10" t="inlineStr">
        <is>
          <t>D17</t>
        </is>
      </c>
      <c r="B21" s="10" t="inlineStr">
        <is>
          <t>Desert Sun Dealers</t>
        </is>
      </c>
      <c r="C21" s="10" t="inlineStr">
        <is>
          <t>Dealer group</t>
        </is>
      </c>
      <c r="D21" s="10" t="inlineStr">
        <is>
          <t>Negotiation</t>
        </is>
      </c>
      <c r="E21" s="19" t="n">
        <v>0.7</v>
      </c>
      <c r="F21" s="20" t="n">
        <v>130000</v>
      </c>
      <c r="G21" s="10" t="inlineStr">
        <is>
          <t>2026-11-30</t>
        </is>
      </c>
      <c r="H21" s="10" t="inlineStr">
        <is>
          <t>Audit + Autofill</t>
        </is>
      </c>
      <c r="I21" s="10" t="inlineStr">
        <is>
          <t>AZ, NV</t>
        </is>
      </c>
      <c r="J21" s="10" t="inlineStr"/>
      <c r="K21" s="2">
        <f>IF(OR(ISNUMBER(SEARCH("Autofill",H21)),ISNUMBER(SEARCH("Complete",H21))),1,0)</f>
        <v/>
      </c>
      <c r="L21" s="10" t="n">
        <v>0</v>
      </c>
      <c r="M21" s="19" t="n">
        <v>1</v>
      </c>
      <c r="N21" s="2">
        <f>IF(AND(K21=1,L21=0,E21&gt;0),1,0)</f>
        <v/>
      </c>
      <c r="O21" s="14">
        <f>N21*F21*E21*M21</f>
        <v/>
      </c>
      <c r="P21" s="10" t="n">
        <v>2</v>
      </c>
      <c r="Q21" s="13" t="inlineStr"/>
    </row>
    <row r="22">
      <c r="A22" s="10" t="inlineStr">
        <is>
          <t>D18</t>
        </is>
      </c>
      <c r="B22" s="10" t="inlineStr">
        <is>
          <t>Big Sky Motors</t>
        </is>
      </c>
      <c r="C22" s="10" t="inlineStr">
        <is>
          <t>Dealer group</t>
        </is>
      </c>
      <c r="D22" s="10" t="inlineStr">
        <is>
          <t>Qualified</t>
        </is>
      </c>
      <c r="E22" s="19" t="n">
        <v>0.2</v>
      </c>
      <c r="F22" s="20" t="n">
        <v>25000</v>
      </c>
      <c r="G22" s="10" t="inlineStr">
        <is>
          <t>2027-02-28</t>
        </is>
      </c>
      <c r="H22" s="10" t="inlineStr">
        <is>
          <t>Autofill</t>
        </is>
      </c>
      <c r="I22" s="10" t="inlineStr">
        <is>
          <t>MT</t>
        </is>
      </c>
      <c r="J22" s="10" t="inlineStr"/>
      <c r="K22" s="2">
        <f>IF(OR(ISNUMBER(SEARCH("Autofill",H22)),ISNUMBER(SEARCH("Complete",H22))),1,0)</f>
        <v/>
      </c>
      <c r="L22" s="10" t="n">
        <v>0</v>
      </c>
      <c r="M22" s="19" t="n">
        <v>1</v>
      </c>
      <c r="N22" s="2">
        <f>IF(AND(K22=1,L22=0,E22&gt;0),1,0)</f>
        <v/>
      </c>
      <c r="O22" s="14">
        <f>N22*F22*E22*M22</f>
        <v/>
      </c>
      <c r="P22" s="10" t="n">
        <v>1</v>
      </c>
      <c r="Q22" s="13" t="inlineStr"/>
    </row>
    <row r="23">
      <c r="A23" s="10" t="inlineStr">
        <is>
          <t>D19</t>
        </is>
      </c>
      <c r="B23" s="10" t="inlineStr">
        <is>
          <t>Tri-State Tag &amp; Title</t>
        </is>
      </c>
      <c r="C23" s="10" t="inlineStr">
        <is>
          <t>Tag agency</t>
        </is>
      </c>
      <c r="D23" s="10" t="inlineStr">
        <is>
          <t>Closed Lost</t>
        </is>
      </c>
      <c r="E23" s="19" t="n">
        <v>0</v>
      </c>
      <c r="F23" s="20" t="n">
        <v>310000</v>
      </c>
      <c r="G23" s="10" t="inlineStr">
        <is>
          <t>2026-07-31</t>
        </is>
      </c>
      <c r="H23" s="10" t="inlineStr">
        <is>
          <t>Audit + Autofill</t>
        </is>
      </c>
      <c r="I23" s="10" t="inlineStr">
        <is>
          <t>NY, NJ, PA</t>
        </is>
      </c>
      <c r="J23" s="10" t="inlineStr">
        <is>
          <t>Lost to a competitor. Reason given: we had no Autofill.</t>
        </is>
      </c>
      <c r="K23" s="2">
        <f>IF(OR(ISNUMBER(SEARCH("Autofill",H23)),ISNUMBER(SEARCH("Complete",H23))),1,0)</f>
        <v/>
      </c>
      <c r="L23" s="10" t="n">
        <v>0</v>
      </c>
      <c r="M23" s="19" t="n">
        <v>1</v>
      </c>
      <c r="N23" s="2">
        <f>IF(AND(K23=1,L23=0,E23&gt;0),1,0)</f>
        <v/>
      </c>
      <c r="O23" s="14">
        <f>N23*F23*E23*M23</f>
        <v/>
      </c>
      <c r="P23" s="10" t="n">
        <v>3</v>
      </c>
      <c r="Q23" s="13" t="inlineStr">
        <is>
          <t>Closed Lost: 0% probability</t>
        </is>
      </c>
    </row>
    <row r="24">
      <c r="A24" s="10" t="inlineStr">
        <is>
          <t>D20</t>
        </is>
      </c>
      <c r="B24" s="10" t="inlineStr">
        <is>
          <t>Keystone Fleet Services</t>
        </is>
      </c>
      <c r="C24" s="10" t="inlineStr">
        <is>
          <t>Fleet management</t>
        </is>
      </c>
      <c r="D24" s="10" t="inlineStr">
        <is>
          <t>Legal Review</t>
        </is>
      </c>
      <c r="E24" s="19" t="n">
        <v>0.6</v>
      </c>
      <c r="F24" s="20" t="n">
        <v>450000</v>
      </c>
      <c r="G24" s="10" t="inlineStr">
        <is>
          <t>2026-11-30</t>
        </is>
      </c>
      <c r="H24" s="10" t="inlineStr">
        <is>
          <t>Audit + Autofill</t>
        </is>
      </c>
      <c r="I24" s="10" t="inlineStr">
        <is>
          <t>PA, NJ, DE, MD</t>
        </is>
      </c>
      <c r="J24" s="10" t="inlineStr"/>
      <c r="K24" s="2">
        <f>IF(OR(ISNUMBER(SEARCH("Autofill",H24)),ISNUMBER(SEARCH("Complete",H24))),1,0)</f>
        <v/>
      </c>
      <c r="L24" s="10" t="n">
        <v>0</v>
      </c>
      <c r="M24" s="19" t="n">
        <v>1</v>
      </c>
      <c r="N24" s="2">
        <f>IF(AND(K24=1,L24=0,E24&gt;0),1,0)</f>
        <v/>
      </c>
      <c r="O24" s="14">
        <f>N24*F24*E24*M24</f>
        <v/>
      </c>
      <c r="P24" s="10" t="n">
        <v>4</v>
      </c>
      <c r="Q24" s="13" t="inlineStr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4" t="inlineStr">
        <is>
          <t>Total</t>
        </is>
      </c>
      <c r="O25" s="21">
        <f>SUM(O5:O24)</f>
        <v/>
      </c>
      <c r="P25" s="2" t="n"/>
      <c r="Q2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22" customWidth="1" min="4" max="4"/>
    <col width="22" customWidth="1" min="5" max="5"/>
  </cols>
  <sheetData>
    <row r="1">
      <c r="A1" s="1" t="inlineStr">
        <is>
          <t>Pipeline allocated to states</t>
        </is>
      </c>
      <c r="B1" s="2" t="n"/>
      <c r="C1" s="2" t="n"/>
      <c r="D1" s="2" t="n"/>
      <c r="E1" s="2" t="n"/>
    </row>
    <row r="2">
      <c r="A2" s="3" t="inlineStr">
        <is>
          <t>Each deal's adjusted value is split evenly across the states it covers ('All 50' = 50 states).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6" t="inlineStr">
        <is>
          <t>deal_id</t>
        </is>
      </c>
      <c r="B4" s="6" t="inlineStr">
        <is>
          <t>state</t>
        </is>
      </c>
      <c r="C4" s="6" t="inlineStr">
        <is>
          <t># states</t>
        </is>
      </c>
      <c r="D4" s="6" t="inlineStr">
        <is>
          <t>Deal adjusted value ($)</t>
        </is>
      </c>
      <c r="E4" s="6" t="inlineStr">
        <is>
          <t>Allocated to state ($)</t>
        </is>
      </c>
    </row>
    <row r="5">
      <c r="A5" s="10" t="inlineStr">
        <is>
          <t>D01</t>
        </is>
      </c>
      <c r="B5" s="10" t="inlineStr">
        <is>
          <t>Alabama</t>
        </is>
      </c>
      <c r="C5" s="2">
        <f>INDEX(Pipeline!$P$5:$P$24,MATCH(A5,Pipeline!$A$5:$A$24,0))</f>
        <v/>
      </c>
      <c r="D5" s="14">
        <f>INDEX(Pipeline!$O$5:$O$24,MATCH(A5,Pipeline!$A$5:$A$24,0))</f>
        <v/>
      </c>
      <c r="E5" s="14">
        <f>IF(C5=0,0,D5/C5)</f>
        <v/>
      </c>
    </row>
    <row r="6">
      <c r="A6" s="10" t="inlineStr">
        <is>
          <t>D01</t>
        </is>
      </c>
      <c r="B6" s="10" t="inlineStr">
        <is>
          <t>Alaska</t>
        </is>
      </c>
      <c r="C6" s="2">
        <f>INDEX(Pipeline!$P$5:$P$24,MATCH(A6,Pipeline!$A$5:$A$24,0))</f>
        <v/>
      </c>
      <c r="D6" s="14">
        <f>INDEX(Pipeline!$O$5:$O$24,MATCH(A6,Pipeline!$A$5:$A$24,0))</f>
        <v/>
      </c>
      <c r="E6" s="14">
        <f>IF(C6=0,0,D6/C6)</f>
        <v/>
      </c>
    </row>
    <row r="7">
      <c r="A7" s="10" t="inlineStr">
        <is>
          <t>D01</t>
        </is>
      </c>
      <c r="B7" s="10" t="inlineStr">
        <is>
          <t>Arizona</t>
        </is>
      </c>
      <c r="C7" s="2">
        <f>INDEX(Pipeline!$P$5:$P$24,MATCH(A7,Pipeline!$A$5:$A$24,0))</f>
        <v/>
      </c>
      <c r="D7" s="14">
        <f>INDEX(Pipeline!$O$5:$O$24,MATCH(A7,Pipeline!$A$5:$A$24,0))</f>
        <v/>
      </c>
      <c r="E7" s="14">
        <f>IF(C7=0,0,D7/C7)</f>
        <v/>
      </c>
    </row>
    <row r="8">
      <c r="A8" s="10" t="inlineStr">
        <is>
          <t>D01</t>
        </is>
      </c>
      <c r="B8" s="10" t="inlineStr">
        <is>
          <t>Arkansas</t>
        </is>
      </c>
      <c r="C8" s="2">
        <f>INDEX(Pipeline!$P$5:$P$24,MATCH(A8,Pipeline!$A$5:$A$24,0))</f>
        <v/>
      </c>
      <c r="D8" s="14">
        <f>INDEX(Pipeline!$O$5:$O$24,MATCH(A8,Pipeline!$A$5:$A$24,0))</f>
        <v/>
      </c>
      <c r="E8" s="14">
        <f>IF(C8=0,0,D8/C8)</f>
        <v/>
      </c>
    </row>
    <row r="9">
      <c r="A9" s="10" t="inlineStr">
        <is>
          <t>D01</t>
        </is>
      </c>
      <c r="B9" s="10" t="inlineStr">
        <is>
          <t>California</t>
        </is>
      </c>
      <c r="C9" s="2">
        <f>INDEX(Pipeline!$P$5:$P$24,MATCH(A9,Pipeline!$A$5:$A$24,0))</f>
        <v/>
      </c>
      <c r="D9" s="14">
        <f>INDEX(Pipeline!$O$5:$O$24,MATCH(A9,Pipeline!$A$5:$A$24,0))</f>
        <v/>
      </c>
      <c r="E9" s="14">
        <f>IF(C9=0,0,D9/C9)</f>
        <v/>
      </c>
    </row>
    <row r="10">
      <c r="A10" s="10" t="inlineStr">
        <is>
          <t>D01</t>
        </is>
      </c>
      <c r="B10" s="10" t="inlineStr">
        <is>
          <t>Colorado</t>
        </is>
      </c>
      <c r="C10" s="2">
        <f>INDEX(Pipeline!$P$5:$P$24,MATCH(A10,Pipeline!$A$5:$A$24,0))</f>
        <v/>
      </c>
      <c r="D10" s="14">
        <f>INDEX(Pipeline!$O$5:$O$24,MATCH(A10,Pipeline!$A$5:$A$24,0))</f>
        <v/>
      </c>
      <c r="E10" s="14">
        <f>IF(C10=0,0,D10/C10)</f>
        <v/>
      </c>
    </row>
    <row r="11">
      <c r="A11" s="10" t="inlineStr">
        <is>
          <t>D01</t>
        </is>
      </c>
      <c r="B11" s="10" t="inlineStr">
        <is>
          <t>Connecticut</t>
        </is>
      </c>
      <c r="C11" s="2">
        <f>INDEX(Pipeline!$P$5:$P$24,MATCH(A11,Pipeline!$A$5:$A$24,0))</f>
        <v/>
      </c>
      <c r="D11" s="14">
        <f>INDEX(Pipeline!$O$5:$O$24,MATCH(A11,Pipeline!$A$5:$A$24,0))</f>
        <v/>
      </c>
      <c r="E11" s="14">
        <f>IF(C11=0,0,D11/C11)</f>
        <v/>
      </c>
    </row>
    <row r="12">
      <c r="A12" s="10" t="inlineStr">
        <is>
          <t>D01</t>
        </is>
      </c>
      <c r="B12" s="10" t="inlineStr">
        <is>
          <t>Delaware</t>
        </is>
      </c>
      <c r="C12" s="2">
        <f>INDEX(Pipeline!$P$5:$P$24,MATCH(A12,Pipeline!$A$5:$A$24,0))</f>
        <v/>
      </c>
      <c r="D12" s="14">
        <f>INDEX(Pipeline!$O$5:$O$24,MATCH(A12,Pipeline!$A$5:$A$24,0))</f>
        <v/>
      </c>
      <c r="E12" s="14">
        <f>IF(C12=0,0,D12/C12)</f>
        <v/>
      </c>
    </row>
    <row r="13">
      <c r="A13" s="10" t="inlineStr">
        <is>
          <t>D01</t>
        </is>
      </c>
      <c r="B13" s="10" t="inlineStr">
        <is>
          <t>Florida</t>
        </is>
      </c>
      <c r="C13" s="2">
        <f>INDEX(Pipeline!$P$5:$P$24,MATCH(A13,Pipeline!$A$5:$A$24,0))</f>
        <v/>
      </c>
      <c r="D13" s="14">
        <f>INDEX(Pipeline!$O$5:$O$24,MATCH(A13,Pipeline!$A$5:$A$24,0))</f>
        <v/>
      </c>
      <c r="E13" s="14">
        <f>IF(C13=0,0,D13/C13)</f>
        <v/>
      </c>
    </row>
    <row r="14">
      <c r="A14" s="10" t="inlineStr">
        <is>
          <t>D01</t>
        </is>
      </c>
      <c r="B14" s="10" t="inlineStr">
        <is>
          <t>Georgia</t>
        </is>
      </c>
      <c r="C14" s="2">
        <f>INDEX(Pipeline!$P$5:$P$24,MATCH(A14,Pipeline!$A$5:$A$24,0))</f>
        <v/>
      </c>
      <c r="D14" s="14">
        <f>INDEX(Pipeline!$O$5:$O$24,MATCH(A14,Pipeline!$A$5:$A$24,0))</f>
        <v/>
      </c>
      <c r="E14" s="14">
        <f>IF(C14=0,0,D14/C14)</f>
        <v/>
      </c>
    </row>
    <row r="15">
      <c r="A15" s="10" t="inlineStr">
        <is>
          <t>D01</t>
        </is>
      </c>
      <c r="B15" s="10" t="inlineStr">
        <is>
          <t>Hawaii</t>
        </is>
      </c>
      <c r="C15" s="2">
        <f>INDEX(Pipeline!$P$5:$P$24,MATCH(A15,Pipeline!$A$5:$A$24,0))</f>
        <v/>
      </c>
      <c r="D15" s="14">
        <f>INDEX(Pipeline!$O$5:$O$24,MATCH(A15,Pipeline!$A$5:$A$24,0))</f>
        <v/>
      </c>
      <c r="E15" s="14">
        <f>IF(C15=0,0,D15/C15)</f>
        <v/>
      </c>
    </row>
    <row r="16">
      <c r="A16" s="10" t="inlineStr">
        <is>
          <t>D01</t>
        </is>
      </c>
      <c r="B16" s="10" t="inlineStr">
        <is>
          <t>Idaho</t>
        </is>
      </c>
      <c r="C16" s="2">
        <f>INDEX(Pipeline!$P$5:$P$24,MATCH(A16,Pipeline!$A$5:$A$24,0))</f>
        <v/>
      </c>
      <c r="D16" s="14">
        <f>INDEX(Pipeline!$O$5:$O$24,MATCH(A16,Pipeline!$A$5:$A$24,0))</f>
        <v/>
      </c>
      <c r="E16" s="14">
        <f>IF(C16=0,0,D16/C16)</f>
        <v/>
      </c>
    </row>
    <row r="17">
      <c r="A17" s="10" t="inlineStr">
        <is>
          <t>D01</t>
        </is>
      </c>
      <c r="B17" s="10" t="inlineStr">
        <is>
          <t>Illinois</t>
        </is>
      </c>
      <c r="C17" s="2">
        <f>INDEX(Pipeline!$P$5:$P$24,MATCH(A17,Pipeline!$A$5:$A$24,0))</f>
        <v/>
      </c>
      <c r="D17" s="14">
        <f>INDEX(Pipeline!$O$5:$O$24,MATCH(A17,Pipeline!$A$5:$A$24,0))</f>
        <v/>
      </c>
      <c r="E17" s="14">
        <f>IF(C17=0,0,D17/C17)</f>
        <v/>
      </c>
    </row>
    <row r="18">
      <c r="A18" s="10" t="inlineStr">
        <is>
          <t>D01</t>
        </is>
      </c>
      <c r="B18" s="10" t="inlineStr">
        <is>
          <t>Indiana</t>
        </is>
      </c>
      <c r="C18" s="2">
        <f>INDEX(Pipeline!$P$5:$P$24,MATCH(A18,Pipeline!$A$5:$A$24,0))</f>
        <v/>
      </c>
      <c r="D18" s="14">
        <f>INDEX(Pipeline!$O$5:$O$24,MATCH(A18,Pipeline!$A$5:$A$24,0))</f>
        <v/>
      </c>
      <c r="E18" s="14">
        <f>IF(C18=0,0,D18/C18)</f>
        <v/>
      </c>
    </row>
    <row r="19">
      <c r="A19" s="10" t="inlineStr">
        <is>
          <t>D01</t>
        </is>
      </c>
      <c r="B19" s="10" t="inlineStr">
        <is>
          <t>Iowa</t>
        </is>
      </c>
      <c r="C19" s="2">
        <f>INDEX(Pipeline!$P$5:$P$24,MATCH(A19,Pipeline!$A$5:$A$24,0))</f>
        <v/>
      </c>
      <c r="D19" s="14">
        <f>INDEX(Pipeline!$O$5:$O$24,MATCH(A19,Pipeline!$A$5:$A$24,0))</f>
        <v/>
      </c>
      <c r="E19" s="14">
        <f>IF(C19=0,0,D19/C19)</f>
        <v/>
      </c>
    </row>
    <row r="20">
      <c r="A20" s="10" t="inlineStr">
        <is>
          <t>D01</t>
        </is>
      </c>
      <c r="B20" s="10" t="inlineStr">
        <is>
          <t>Kansas</t>
        </is>
      </c>
      <c r="C20" s="2">
        <f>INDEX(Pipeline!$P$5:$P$24,MATCH(A20,Pipeline!$A$5:$A$24,0))</f>
        <v/>
      </c>
      <c r="D20" s="14">
        <f>INDEX(Pipeline!$O$5:$O$24,MATCH(A20,Pipeline!$A$5:$A$24,0))</f>
        <v/>
      </c>
      <c r="E20" s="14">
        <f>IF(C20=0,0,D20/C20)</f>
        <v/>
      </c>
    </row>
    <row r="21">
      <c r="A21" s="10" t="inlineStr">
        <is>
          <t>D01</t>
        </is>
      </c>
      <c r="B21" s="10" t="inlineStr">
        <is>
          <t>Kentucky</t>
        </is>
      </c>
      <c r="C21" s="2">
        <f>INDEX(Pipeline!$P$5:$P$24,MATCH(A21,Pipeline!$A$5:$A$24,0))</f>
        <v/>
      </c>
      <c r="D21" s="14">
        <f>INDEX(Pipeline!$O$5:$O$24,MATCH(A21,Pipeline!$A$5:$A$24,0))</f>
        <v/>
      </c>
      <c r="E21" s="14">
        <f>IF(C21=0,0,D21/C21)</f>
        <v/>
      </c>
    </row>
    <row r="22">
      <c r="A22" s="10" t="inlineStr">
        <is>
          <t>D01</t>
        </is>
      </c>
      <c r="B22" s="10" t="inlineStr">
        <is>
          <t>Louisiana</t>
        </is>
      </c>
      <c r="C22" s="2">
        <f>INDEX(Pipeline!$P$5:$P$24,MATCH(A22,Pipeline!$A$5:$A$24,0))</f>
        <v/>
      </c>
      <c r="D22" s="14">
        <f>INDEX(Pipeline!$O$5:$O$24,MATCH(A22,Pipeline!$A$5:$A$24,0))</f>
        <v/>
      </c>
      <c r="E22" s="14">
        <f>IF(C22=0,0,D22/C22)</f>
        <v/>
      </c>
    </row>
    <row r="23">
      <c r="A23" s="10" t="inlineStr">
        <is>
          <t>D01</t>
        </is>
      </c>
      <c r="B23" s="10" t="inlineStr">
        <is>
          <t>Maine</t>
        </is>
      </c>
      <c r="C23" s="2">
        <f>INDEX(Pipeline!$P$5:$P$24,MATCH(A23,Pipeline!$A$5:$A$24,0))</f>
        <v/>
      </c>
      <c r="D23" s="14">
        <f>INDEX(Pipeline!$O$5:$O$24,MATCH(A23,Pipeline!$A$5:$A$24,0))</f>
        <v/>
      </c>
      <c r="E23" s="14">
        <f>IF(C23=0,0,D23/C23)</f>
        <v/>
      </c>
    </row>
    <row r="24">
      <c r="A24" s="10" t="inlineStr">
        <is>
          <t>D01</t>
        </is>
      </c>
      <c r="B24" s="10" t="inlineStr">
        <is>
          <t>Maryland</t>
        </is>
      </c>
      <c r="C24" s="2">
        <f>INDEX(Pipeline!$P$5:$P$24,MATCH(A24,Pipeline!$A$5:$A$24,0))</f>
        <v/>
      </c>
      <c r="D24" s="14">
        <f>INDEX(Pipeline!$O$5:$O$24,MATCH(A24,Pipeline!$A$5:$A$24,0))</f>
        <v/>
      </c>
      <c r="E24" s="14">
        <f>IF(C24=0,0,D24/C24)</f>
        <v/>
      </c>
    </row>
    <row r="25">
      <c r="A25" s="10" t="inlineStr">
        <is>
          <t>D01</t>
        </is>
      </c>
      <c r="B25" s="10" t="inlineStr">
        <is>
          <t>Massachusetts</t>
        </is>
      </c>
      <c r="C25" s="2">
        <f>INDEX(Pipeline!$P$5:$P$24,MATCH(A25,Pipeline!$A$5:$A$24,0))</f>
        <v/>
      </c>
      <c r="D25" s="14">
        <f>INDEX(Pipeline!$O$5:$O$24,MATCH(A25,Pipeline!$A$5:$A$24,0))</f>
        <v/>
      </c>
      <c r="E25" s="14">
        <f>IF(C25=0,0,D25/C25)</f>
        <v/>
      </c>
    </row>
    <row r="26">
      <c r="A26" s="10" t="inlineStr">
        <is>
          <t>D01</t>
        </is>
      </c>
      <c r="B26" s="10" t="inlineStr">
        <is>
          <t>Michigan</t>
        </is>
      </c>
      <c r="C26" s="2">
        <f>INDEX(Pipeline!$P$5:$P$24,MATCH(A26,Pipeline!$A$5:$A$24,0))</f>
        <v/>
      </c>
      <c r="D26" s="14">
        <f>INDEX(Pipeline!$O$5:$O$24,MATCH(A26,Pipeline!$A$5:$A$24,0))</f>
        <v/>
      </c>
      <c r="E26" s="14">
        <f>IF(C26=0,0,D26/C26)</f>
        <v/>
      </c>
    </row>
    <row r="27">
      <c r="A27" s="10" t="inlineStr">
        <is>
          <t>D01</t>
        </is>
      </c>
      <c r="B27" s="10" t="inlineStr">
        <is>
          <t>Minnesota</t>
        </is>
      </c>
      <c r="C27" s="2">
        <f>INDEX(Pipeline!$P$5:$P$24,MATCH(A27,Pipeline!$A$5:$A$24,0))</f>
        <v/>
      </c>
      <c r="D27" s="14">
        <f>INDEX(Pipeline!$O$5:$O$24,MATCH(A27,Pipeline!$A$5:$A$24,0))</f>
        <v/>
      </c>
      <c r="E27" s="14">
        <f>IF(C27=0,0,D27/C27)</f>
        <v/>
      </c>
    </row>
    <row r="28">
      <c r="A28" s="10" t="inlineStr">
        <is>
          <t>D01</t>
        </is>
      </c>
      <c r="B28" s="10" t="inlineStr">
        <is>
          <t>Mississippi</t>
        </is>
      </c>
      <c r="C28" s="2">
        <f>INDEX(Pipeline!$P$5:$P$24,MATCH(A28,Pipeline!$A$5:$A$24,0))</f>
        <v/>
      </c>
      <c r="D28" s="14">
        <f>INDEX(Pipeline!$O$5:$O$24,MATCH(A28,Pipeline!$A$5:$A$24,0))</f>
        <v/>
      </c>
      <c r="E28" s="14">
        <f>IF(C28=0,0,D28/C28)</f>
        <v/>
      </c>
    </row>
    <row r="29">
      <c r="A29" s="10" t="inlineStr">
        <is>
          <t>D01</t>
        </is>
      </c>
      <c r="B29" s="10" t="inlineStr">
        <is>
          <t>Missouri</t>
        </is>
      </c>
      <c r="C29" s="2">
        <f>INDEX(Pipeline!$P$5:$P$24,MATCH(A29,Pipeline!$A$5:$A$24,0))</f>
        <v/>
      </c>
      <c r="D29" s="14">
        <f>INDEX(Pipeline!$O$5:$O$24,MATCH(A29,Pipeline!$A$5:$A$24,0))</f>
        <v/>
      </c>
      <c r="E29" s="14">
        <f>IF(C29=0,0,D29/C29)</f>
        <v/>
      </c>
    </row>
    <row r="30">
      <c r="A30" s="10" t="inlineStr">
        <is>
          <t>D01</t>
        </is>
      </c>
      <c r="B30" s="10" t="inlineStr">
        <is>
          <t>Montana</t>
        </is>
      </c>
      <c r="C30" s="2">
        <f>INDEX(Pipeline!$P$5:$P$24,MATCH(A30,Pipeline!$A$5:$A$24,0))</f>
        <v/>
      </c>
      <c r="D30" s="14">
        <f>INDEX(Pipeline!$O$5:$O$24,MATCH(A30,Pipeline!$A$5:$A$24,0))</f>
        <v/>
      </c>
      <c r="E30" s="14">
        <f>IF(C30=0,0,D30/C30)</f>
        <v/>
      </c>
    </row>
    <row r="31">
      <c r="A31" s="10" t="inlineStr">
        <is>
          <t>D01</t>
        </is>
      </c>
      <c r="B31" s="10" t="inlineStr">
        <is>
          <t>Nebraska</t>
        </is>
      </c>
      <c r="C31" s="2">
        <f>INDEX(Pipeline!$P$5:$P$24,MATCH(A31,Pipeline!$A$5:$A$24,0))</f>
        <v/>
      </c>
      <c r="D31" s="14">
        <f>INDEX(Pipeline!$O$5:$O$24,MATCH(A31,Pipeline!$A$5:$A$24,0))</f>
        <v/>
      </c>
      <c r="E31" s="14">
        <f>IF(C31=0,0,D31/C31)</f>
        <v/>
      </c>
    </row>
    <row r="32">
      <c r="A32" s="10" t="inlineStr">
        <is>
          <t>D01</t>
        </is>
      </c>
      <c r="B32" s="10" t="inlineStr">
        <is>
          <t>Nevada</t>
        </is>
      </c>
      <c r="C32" s="2">
        <f>INDEX(Pipeline!$P$5:$P$24,MATCH(A32,Pipeline!$A$5:$A$24,0))</f>
        <v/>
      </c>
      <c r="D32" s="14">
        <f>INDEX(Pipeline!$O$5:$O$24,MATCH(A32,Pipeline!$A$5:$A$24,0))</f>
        <v/>
      </c>
      <c r="E32" s="14">
        <f>IF(C32=0,0,D32/C32)</f>
        <v/>
      </c>
    </row>
    <row r="33">
      <c r="A33" s="10" t="inlineStr">
        <is>
          <t>D01</t>
        </is>
      </c>
      <c r="B33" s="10" t="inlineStr">
        <is>
          <t>New Hampshire</t>
        </is>
      </c>
      <c r="C33" s="2">
        <f>INDEX(Pipeline!$P$5:$P$24,MATCH(A33,Pipeline!$A$5:$A$24,0))</f>
        <v/>
      </c>
      <c r="D33" s="14">
        <f>INDEX(Pipeline!$O$5:$O$24,MATCH(A33,Pipeline!$A$5:$A$24,0))</f>
        <v/>
      </c>
      <c r="E33" s="14">
        <f>IF(C33=0,0,D33/C33)</f>
        <v/>
      </c>
    </row>
    <row r="34">
      <c r="A34" s="10" t="inlineStr">
        <is>
          <t>D01</t>
        </is>
      </c>
      <c r="B34" s="10" t="inlineStr">
        <is>
          <t>New Jersey</t>
        </is>
      </c>
      <c r="C34" s="2">
        <f>INDEX(Pipeline!$P$5:$P$24,MATCH(A34,Pipeline!$A$5:$A$24,0))</f>
        <v/>
      </c>
      <c r="D34" s="14">
        <f>INDEX(Pipeline!$O$5:$O$24,MATCH(A34,Pipeline!$A$5:$A$24,0))</f>
        <v/>
      </c>
      <c r="E34" s="14">
        <f>IF(C34=0,0,D34/C34)</f>
        <v/>
      </c>
    </row>
    <row r="35">
      <c r="A35" s="10" t="inlineStr">
        <is>
          <t>D01</t>
        </is>
      </c>
      <c r="B35" s="10" t="inlineStr">
        <is>
          <t>New Mexico</t>
        </is>
      </c>
      <c r="C35" s="2">
        <f>INDEX(Pipeline!$P$5:$P$24,MATCH(A35,Pipeline!$A$5:$A$24,0))</f>
        <v/>
      </c>
      <c r="D35" s="14">
        <f>INDEX(Pipeline!$O$5:$O$24,MATCH(A35,Pipeline!$A$5:$A$24,0))</f>
        <v/>
      </c>
      <c r="E35" s="14">
        <f>IF(C35=0,0,D35/C35)</f>
        <v/>
      </c>
    </row>
    <row r="36">
      <c r="A36" s="10" t="inlineStr">
        <is>
          <t>D01</t>
        </is>
      </c>
      <c r="B36" s="10" t="inlineStr">
        <is>
          <t>New York</t>
        </is>
      </c>
      <c r="C36" s="2">
        <f>INDEX(Pipeline!$P$5:$P$24,MATCH(A36,Pipeline!$A$5:$A$24,0))</f>
        <v/>
      </c>
      <c r="D36" s="14">
        <f>INDEX(Pipeline!$O$5:$O$24,MATCH(A36,Pipeline!$A$5:$A$24,0))</f>
        <v/>
      </c>
      <c r="E36" s="14">
        <f>IF(C36=0,0,D36/C36)</f>
        <v/>
      </c>
    </row>
    <row r="37">
      <c r="A37" s="10" t="inlineStr">
        <is>
          <t>D01</t>
        </is>
      </c>
      <c r="B37" s="10" t="inlineStr">
        <is>
          <t>North Carolina</t>
        </is>
      </c>
      <c r="C37" s="2">
        <f>INDEX(Pipeline!$P$5:$P$24,MATCH(A37,Pipeline!$A$5:$A$24,0))</f>
        <v/>
      </c>
      <c r="D37" s="14">
        <f>INDEX(Pipeline!$O$5:$O$24,MATCH(A37,Pipeline!$A$5:$A$24,0))</f>
        <v/>
      </c>
      <c r="E37" s="14">
        <f>IF(C37=0,0,D37/C37)</f>
        <v/>
      </c>
    </row>
    <row r="38">
      <c r="A38" s="10" t="inlineStr">
        <is>
          <t>D01</t>
        </is>
      </c>
      <c r="B38" s="10" t="inlineStr">
        <is>
          <t>North Dakota</t>
        </is>
      </c>
      <c r="C38" s="2">
        <f>INDEX(Pipeline!$P$5:$P$24,MATCH(A38,Pipeline!$A$5:$A$24,0))</f>
        <v/>
      </c>
      <c r="D38" s="14">
        <f>INDEX(Pipeline!$O$5:$O$24,MATCH(A38,Pipeline!$A$5:$A$24,0))</f>
        <v/>
      </c>
      <c r="E38" s="14">
        <f>IF(C38=0,0,D38/C38)</f>
        <v/>
      </c>
    </row>
    <row r="39">
      <c r="A39" s="10" t="inlineStr">
        <is>
          <t>D01</t>
        </is>
      </c>
      <c r="B39" s="10" t="inlineStr">
        <is>
          <t>Ohio</t>
        </is>
      </c>
      <c r="C39" s="2">
        <f>INDEX(Pipeline!$P$5:$P$24,MATCH(A39,Pipeline!$A$5:$A$24,0))</f>
        <v/>
      </c>
      <c r="D39" s="14">
        <f>INDEX(Pipeline!$O$5:$O$24,MATCH(A39,Pipeline!$A$5:$A$24,0))</f>
        <v/>
      </c>
      <c r="E39" s="14">
        <f>IF(C39=0,0,D39/C39)</f>
        <v/>
      </c>
    </row>
    <row r="40">
      <c r="A40" s="10" t="inlineStr">
        <is>
          <t>D01</t>
        </is>
      </c>
      <c r="B40" s="10" t="inlineStr">
        <is>
          <t>Oklahoma</t>
        </is>
      </c>
      <c r="C40" s="2">
        <f>INDEX(Pipeline!$P$5:$P$24,MATCH(A40,Pipeline!$A$5:$A$24,0))</f>
        <v/>
      </c>
      <c r="D40" s="14">
        <f>INDEX(Pipeline!$O$5:$O$24,MATCH(A40,Pipeline!$A$5:$A$24,0))</f>
        <v/>
      </c>
      <c r="E40" s="14">
        <f>IF(C40=0,0,D40/C40)</f>
        <v/>
      </c>
    </row>
    <row r="41">
      <c r="A41" s="10" t="inlineStr">
        <is>
          <t>D01</t>
        </is>
      </c>
      <c r="B41" s="10" t="inlineStr">
        <is>
          <t>Oregon</t>
        </is>
      </c>
      <c r="C41" s="2">
        <f>INDEX(Pipeline!$P$5:$P$24,MATCH(A41,Pipeline!$A$5:$A$24,0))</f>
        <v/>
      </c>
      <c r="D41" s="14">
        <f>INDEX(Pipeline!$O$5:$O$24,MATCH(A41,Pipeline!$A$5:$A$24,0))</f>
        <v/>
      </c>
      <c r="E41" s="14">
        <f>IF(C41=0,0,D41/C41)</f>
        <v/>
      </c>
    </row>
    <row r="42">
      <c r="A42" s="10" t="inlineStr">
        <is>
          <t>D01</t>
        </is>
      </c>
      <c r="B42" s="10" t="inlineStr">
        <is>
          <t>Pennsylvania</t>
        </is>
      </c>
      <c r="C42" s="2">
        <f>INDEX(Pipeline!$P$5:$P$24,MATCH(A42,Pipeline!$A$5:$A$24,0))</f>
        <v/>
      </c>
      <c r="D42" s="14">
        <f>INDEX(Pipeline!$O$5:$O$24,MATCH(A42,Pipeline!$A$5:$A$24,0))</f>
        <v/>
      </c>
      <c r="E42" s="14">
        <f>IF(C42=0,0,D42/C42)</f>
        <v/>
      </c>
    </row>
    <row r="43">
      <c r="A43" s="10" t="inlineStr">
        <is>
          <t>D01</t>
        </is>
      </c>
      <c r="B43" s="10" t="inlineStr">
        <is>
          <t>Rhode Island</t>
        </is>
      </c>
      <c r="C43" s="2">
        <f>INDEX(Pipeline!$P$5:$P$24,MATCH(A43,Pipeline!$A$5:$A$24,0))</f>
        <v/>
      </c>
      <c r="D43" s="14">
        <f>INDEX(Pipeline!$O$5:$O$24,MATCH(A43,Pipeline!$A$5:$A$24,0))</f>
        <v/>
      </c>
      <c r="E43" s="14">
        <f>IF(C43=0,0,D43/C43)</f>
        <v/>
      </c>
    </row>
    <row r="44">
      <c r="A44" s="10" t="inlineStr">
        <is>
          <t>D01</t>
        </is>
      </c>
      <c r="B44" s="10" t="inlineStr">
        <is>
          <t>South Carolina</t>
        </is>
      </c>
      <c r="C44" s="2">
        <f>INDEX(Pipeline!$P$5:$P$24,MATCH(A44,Pipeline!$A$5:$A$24,0))</f>
        <v/>
      </c>
      <c r="D44" s="14">
        <f>INDEX(Pipeline!$O$5:$O$24,MATCH(A44,Pipeline!$A$5:$A$24,0))</f>
        <v/>
      </c>
      <c r="E44" s="14">
        <f>IF(C44=0,0,D44/C44)</f>
        <v/>
      </c>
    </row>
    <row r="45">
      <c r="A45" s="10" t="inlineStr">
        <is>
          <t>D01</t>
        </is>
      </c>
      <c r="B45" s="10" t="inlineStr">
        <is>
          <t>South Dakota</t>
        </is>
      </c>
      <c r="C45" s="2">
        <f>INDEX(Pipeline!$P$5:$P$24,MATCH(A45,Pipeline!$A$5:$A$24,0))</f>
        <v/>
      </c>
      <c r="D45" s="14">
        <f>INDEX(Pipeline!$O$5:$O$24,MATCH(A45,Pipeline!$A$5:$A$24,0))</f>
        <v/>
      </c>
      <c r="E45" s="14">
        <f>IF(C45=0,0,D45/C45)</f>
        <v/>
      </c>
    </row>
    <row r="46">
      <c r="A46" s="10" t="inlineStr">
        <is>
          <t>D01</t>
        </is>
      </c>
      <c r="B46" s="10" t="inlineStr">
        <is>
          <t>Tennessee</t>
        </is>
      </c>
      <c r="C46" s="2">
        <f>INDEX(Pipeline!$P$5:$P$24,MATCH(A46,Pipeline!$A$5:$A$24,0))</f>
        <v/>
      </c>
      <c r="D46" s="14">
        <f>INDEX(Pipeline!$O$5:$O$24,MATCH(A46,Pipeline!$A$5:$A$24,0))</f>
        <v/>
      </c>
      <c r="E46" s="14">
        <f>IF(C46=0,0,D46/C46)</f>
        <v/>
      </c>
    </row>
    <row r="47">
      <c r="A47" s="10" t="inlineStr">
        <is>
          <t>D01</t>
        </is>
      </c>
      <c r="B47" s="10" t="inlineStr">
        <is>
          <t>Texas</t>
        </is>
      </c>
      <c r="C47" s="2">
        <f>INDEX(Pipeline!$P$5:$P$24,MATCH(A47,Pipeline!$A$5:$A$24,0))</f>
        <v/>
      </c>
      <c r="D47" s="14">
        <f>INDEX(Pipeline!$O$5:$O$24,MATCH(A47,Pipeline!$A$5:$A$24,0))</f>
        <v/>
      </c>
      <c r="E47" s="14">
        <f>IF(C47=0,0,D47/C47)</f>
        <v/>
      </c>
    </row>
    <row r="48">
      <c r="A48" s="10" t="inlineStr">
        <is>
          <t>D01</t>
        </is>
      </c>
      <c r="B48" s="10" t="inlineStr">
        <is>
          <t>Utah</t>
        </is>
      </c>
      <c r="C48" s="2">
        <f>INDEX(Pipeline!$P$5:$P$24,MATCH(A48,Pipeline!$A$5:$A$24,0))</f>
        <v/>
      </c>
      <c r="D48" s="14">
        <f>INDEX(Pipeline!$O$5:$O$24,MATCH(A48,Pipeline!$A$5:$A$24,0))</f>
        <v/>
      </c>
      <c r="E48" s="14">
        <f>IF(C48=0,0,D48/C48)</f>
        <v/>
      </c>
    </row>
    <row r="49">
      <c r="A49" s="10" t="inlineStr">
        <is>
          <t>D01</t>
        </is>
      </c>
      <c r="B49" s="10" t="inlineStr">
        <is>
          <t>Vermont</t>
        </is>
      </c>
      <c r="C49" s="2">
        <f>INDEX(Pipeline!$P$5:$P$24,MATCH(A49,Pipeline!$A$5:$A$24,0))</f>
        <v/>
      </c>
      <c r="D49" s="14">
        <f>INDEX(Pipeline!$O$5:$O$24,MATCH(A49,Pipeline!$A$5:$A$24,0))</f>
        <v/>
      </c>
      <c r="E49" s="14">
        <f>IF(C49=0,0,D49/C49)</f>
        <v/>
      </c>
    </row>
    <row r="50">
      <c r="A50" s="10" t="inlineStr">
        <is>
          <t>D01</t>
        </is>
      </c>
      <c r="B50" s="10" t="inlineStr">
        <is>
          <t>Virginia</t>
        </is>
      </c>
      <c r="C50" s="2">
        <f>INDEX(Pipeline!$P$5:$P$24,MATCH(A50,Pipeline!$A$5:$A$24,0))</f>
        <v/>
      </c>
      <c r="D50" s="14">
        <f>INDEX(Pipeline!$O$5:$O$24,MATCH(A50,Pipeline!$A$5:$A$24,0))</f>
        <v/>
      </c>
      <c r="E50" s="14">
        <f>IF(C50=0,0,D50/C50)</f>
        <v/>
      </c>
    </row>
    <row r="51">
      <c r="A51" s="10" t="inlineStr">
        <is>
          <t>D01</t>
        </is>
      </c>
      <c r="B51" s="10" t="inlineStr">
        <is>
          <t>Washington</t>
        </is>
      </c>
      <c r="C51" s="2">
        <f>INDEX(Pipeline!$P$5:$P$24,MATCH(A51,Pipeline!$A$5:$A$24,0))</f>
        <v/>
      </c>
      <c r="D51" s="14">
        <f>INDEX(Pipeline!$O$5:$O$24,MATCH(A51,Pipeline!$A$5:$A$24,0))</f>
        <v/>
      </c>
      <c r="E51" s="14">
        <f>IF(C51=0,0,D51/C51)</f>
        <v/>
      </c>
    </row>
    <row r="52">
      <c r="A52" s="10" t="inlineStr">
        <is>
          <t>D01</t>
        </is>
      </c>
      <c r="B52" s="10" t="inlineStr">
        <is>
          <t>West Virginia</t>
        </is>
      </c>
      <c r="C52" s="2">
        <f>INDEX(Pipeline!$P$5:$P$24,MATCH(A52,Pipeline!$A$5:$A$24,0))</f>
        <v/>
      </c>
      <c r="D52" s="14">
        <f>INDEX(Pipeline!$O$5:$O$24,MATCH(A52,Pipeline!$A$5:$A$24,0))</f>
        <v/>
      </c>
      <c r="E52" s="14">
        <f>IF(C52=0,0,D52/C52)</f>
        <v/>
      </c>
    </row>
    <row r="53">
      <c r="A53" s="10" t="inlineStr">
        <is>
          <t>D01</t>
        </is>
      </c>
      <c r="B53" s="10" t="inlineStr">
        <is>
          <t>Wisconsin</t>
        </is>
      </c>
      <c r="C53" s="2">
        <f>INDEX(Pipeline!$P$5:$P$24,MATCH(A53,Pipeline!$A$5:$A$24,0))</f>
        <v/>
      </c>
      <c r="D53" s="14">
        <f>INDEX(Pipeline!$O$5:$O$24,MATCH(A53,Pipeline!$A$5:$A$24,0))</f>
        <v/>
      </c>
      <c r="E53" s="14">
        <f>IF(C53=0,0,D53/C53)</f>
        <v/>
      </c>
    </row>
    <row r="54">
      <c r="A54" s="10" t="inlineStr">
        <is>
          <t>D01</t>
        </is>
      </c>
      <c r="B54" s="10" t="inlineStr">
        <is>
          <t>Wyoming</t>
        </is>
      </c>
      <c r="C54" s="2">
        <f>INDEX(Pipeline!$P$5:$P$24,MATCH(A54,Pipeline!$A$5:$A$24,0))</f>
        <v/>
      </c>
      <c r="D54" s="14">
        <f>INDEX(Pipeline!$O$5:$O$24,MATCH(A54,Pipeline!$A$5:$A$24,0))</f>
        <v/>
      </c>
      <c r="E54" s="14">
        <f>IF(C54=0,0,D54/C54)</f>
        <v/>
      </c>
    </row>
    <row r="55">
      <c r="A55" s="10" t="inlineStr">
        <is>
          <t>D02</t>
        </is>
      </c>
      <c r="B55" s="10" t="inlineStr">
        <is>
          <t>Texas</t>
        </is>
      </c>
      <c r="C55" s="2">
        <f>INDEX(Pipeline!$P$5:$P$24,MATCH(A55,Pipeline!$A$5:$A$24,0))</f>
        <v/>
      </c>
      <c r="D55" s="14">
        <f>INDEX(Pipeline!$O$5:$O$24,MATCH(A55,Pipeline!$A$5:$A$24,0))</f>
        <v/>
      </c>
      <c r="E55" s="14">
        <f>IF(C55=0,0,D55/C55)</f>
        <v/>
      </c>
    </row>
    <row r="56">
      <c r="A56" s="10" t="inlineStr">
        <is>
          <t>D02</t>
        </is>
      </c>
      <c r="B56" s="10" t="inlineStr">
        <is>
          <t>Florida</t>
        </is>
      </c>
      <c r="C56" s="2">
        <f>INDEX(Pipeline!$P$5:$P$24,MATCH(A56,Pipeline!$A$5:$A$24,0))</f>
        <v/>
      </c>
      <c r="D56" s="14">
        <f>INDEX(Pipeline!$O$5:$O$24,MATCH(A56,Pipeline!$A$5:$A$24,0))</f>
        <v/>
      </c>
      <c r="E56" s="14">
        <f>IF(C56=0,0,D56/C56)</f>
        <v/>
      </c>
    </row>
    <row r="57">
      <c r="A57" s="10" t="inlineStr">
        <is>
          <t>D02</t>
        </is>
      </c>
      <c r="B57" s="10" t="inlineStr">
        <is>
          <t>Arizona</t>
        </is>
      </c>
      <c r="C57" s="2">
        <f>INDEX(Pipeline!$P$5:$P$24,MATCH(A57,Pipeline!$A$5:$A$24,0))</f>
        <v/>
      </c>
      <c r="D57" s="14">
        <f>INDEX(Pipeline!$O$5:$O$24,MATCH(A57,Pipeline!$A$5:$A$24,0))</f>
        <v/>
      </c>
      <c r="E57" s="14">
        <f>IF(C57=0,0,D57/C57)</f>
        <v/>
      </c>
    </row>
    <row r="58">
      <c r="A58" s="10" t="inlineStr">
        <is>
          <t>D03</t>
        </is>
      </c>
      <c r="B58" s="10" t="inlineStr">
        <is>
          <t>Texas</t>
        </is>
      </c>
      <c r="C58" s="2">
        <f>INDEX(Pipeline!$P$5:$P$24,MATCH(A58,Pipeline!$A$5:$A$24,0))</f>
        <v/>
      </c>
      <c r="D58" s="14">
        <f>INDEX(Pipeline!$O$5:$O$24,MATCH(A58,Pipeline!$A$5:$A$24,0))</f>
        <v/>
      </c>
      <c r="E58" s="14">
        <f>IF(C58=0,0,D58/C58)</f>
        <v/>
      </c>
    </row>
    <row r="59">
      <c r="A59" s="10" t="inlineStr">
        <is>
          <t>D04</t>
        </is>
      </c>
      <c r="B59" s="10" t="inlineStr">
        <is>
          <t>Florida</t>
        </is>
      </c>
      <c r="C59" s="2">
        <f>INDEX(Pipeline!$P$5:$P$24,MATCH(A59,Pipeline!$A$5:$A$24,0))</f>
        <v/>
      </c>
      <c r="D59" s="14">
        <f>INDEX(Pipeline!$O$5:$O$24,MATCH(A59,Pipeline!$A$5:$A$24,0))</f>
        <v/>
      </c>
      <c r="E59" s="14">
        <f>IF(C59=0,0,D59/C59)</f>
        <v/>
      </c>
    </row>
    <row r="60">
      <c r="A60" s="10" t="inlineStr">
        <is>
          <t>D05</t>
        </is>
      </c>
      <c r="B60" s="10" t="inlineStr">
        <is>
          <t>California</t>
        </is>
      </c>
      <c r="C60" s="2">
        <f>INDEX(Pipeline!$P$5:$P$24,MATCH(A60,Pipeline!$A$5:$A$24,0))</f>
        <v/>
      </c>
      <c r="D60" s="14">
        <f>INDEX(Pipeline!$O$5:$O$24,MATCH(A60,Pipeline!$A$5:$A$24,0))</f>
        <v/>
      </c>
      <c r="E60" s="14">
        <f>IF(C60=0,0,D60/C60)</f>
        <v/>
      </c>
    </row>
    <row r="61">
      <c r="A61" s="10" t="inlineStr">
        <is>
          <t>D05</t>
        </is>
      </c>
      <c r="B61" s="10" t="inlineStr">
        <is>
          <t>Oregon</t>
        </is>
      </c>
      <c r="C61" s="2">
        <f>INDEX(Pipeline!$P$5:$P$24,MATCH(A61,Pipeline!$A$5:$A$24,0))</f>
        <v/>
      </c>
      <c r="D61" s="14">
        <f>INDEX(Pipeline!$O$5:$O$24,MATCH(A61,Pipeline!$A$5:$A$24,0))</f>
        <v/>
      </c>
      <c r="E61" s="14">
        <f>IF(C61=0,0,D61/C61)</f>
        <v/>
      </c>
    </row>
    <row r="62">
      <c r="A62" s="10" t="inlineStr">
        <is>
          <t>D05</t>
        </is>
      </c>
      <c r="B62" s="10" t="inlineStr">
        <is>
          <t>Washington</t>
        </is>
      </c>
      <c r="C62" s="2">
        <f>INDEX(Pipeline!$P$5:$P$24,MATCH(A62,Pipeline!$A$5:$A$24,0))</f>
        <v/>
      </c>
      <c r="D62" s="14">
        <f>INDEX(Pipeline!$O$5:$O$24,MATCH(A62,Pipeline!$A$5:$A$24,0))</f>
        <v/>
      </c>
      <c r="E62" s="14">
        <f>IF(C62=0,0,D62/C62)</f>
        <v/>
      </c>
    </row>
    <row r="63">
      <c r="A63" s="10" t="inlineStr">
        <is>
          <t>D05</t>
        </is>
      </c>
      <c r="B63" s="10" t="inlineStr">
        <is>
          <t>Nevada</t>
        </is>
      </c>
      <c r="C63" s="2">
        <f>INDEX(Pipeline!$P$5:$P$24,MATCH(A63,Pipeline!$A$5:$A$24,0))</f>
        <v/>
      </c>
      <c r="D63" s="14">
        <f>INDEX(Pipeline!$O$5:$O$24,MATCH(A63,Pipeline!$A$5:$A$24,0))</f>
        <v/>
      </c>
      <c r="E63" s="14">
        <f>IF(C63=0,0,D63/C63)</f>
        <v/>
      </c>
    </row>
    <row r="64">
      <c r="A64" s="10" t="inlineStr">
        <is>
          <t>D05</t>
        </is>
      </c>
      <c r="B64" s="10" t="inlineStr">
        <is>
          <t>Arizona</t>
        </is>
      </c>
      <c r="C64" s="2">
        <f>INDEX(Pipeline!$P$5:$P$24,MATCH(A64,Pipeline!$A$5:$A$24,0))</f>
        <v/>
      </c>
      <c r="D64" s="14">
        <f>INDEX(Pipeline!$O$5:$O$24,MATCH(A64,Pipeline!$A$5:$A$24,0))</f>
        <v/>
      </c>
      <c r="E64" s="14">
        <f>IF(C64=0,0,D64/C64)</f>
        <v/>
      </c>
    </row>
    <row r="65">
      <c r="A65" s="10" t="inlineStr">
        <is>
          <t>D06</t>
        </is>
      </c>
      <c r="B65" s="10" t="inlineStr">
        <is>
          <t>Alabama</t>
        </is>
      </c>
      <c r="C65" s="2">
        <f>INDEX(Pipeline!$P$5:$P$24,MATCH(A65,Pipeline!$A$5:$A$24,0))</f>
        <v/>
      </c>
      <c r="D65" s="14">
        <f>INDEX(Pipeline!$O$5:$O$24,MATCH(A65,Pipeline!$A$5:$A$24,0))</f>
        <v/>
      </c>
      <c r="E65" s="14">
        <f>IF(C65=0,0,D65/C65)</f>
        <v/>
      </c>
    </row>
    <row r="66">
      <c r="A66" s="10" t="inlineStr">
        <is>
          <t>D06</t>
        </is>
      </c>
      <c r="B66" s="10" t="inlineStr">
        <is>
          <t>Alaska</t>
        </is>
      </c>
      <c r="C66" s="2">
        <f>INDEX(Pipeline!$P$5:$P$24,MATCH(A66,Pipeline!$A$5:$A$24,0))</f>
        <v/>
      </c>
      <c r="D66" s="14">
        <f>INDEX(Pipeline!$O$5:$O$24,MATCH(A66,Pipeline!$A$5:$A$24,0))</f>
        <v/>
      </c>
      <c r="E66" s="14">
        <f>IF(C66=0,0,D66/C66)</f>
        <v/>
      </c>
    </row>
    <row r="67">
      <c r="A67" s="10" t="inlineStr">
        <is>
          <t>D06</t>
        </is>
      </c>
      <c r="B67" s="10" t="inlineStr">
        <is>
          <t>Arizona</t>
        </is>
      </c>
      <c r="C67" s="2">
        <f>INDEX(Pipeline!$P$5:$P$24,MATCH(A67,Pipeline!$A$5:$A$24,0))</f>
        <v/>
      </c>
      <c r="D67" s="14">
        <f>INDEX(Pipeline!$O$5:$O$24,MATCH(A67,Pipeline!$A$5:$A$24,0))</f>
        <v/>
      </c>
      <c r="E67" s="14">
        <f>IF(C67=0,0,D67/C67)</f>
        <v/>
      </c>
    </row>
    <row r="68">
      <c r="A68" s="10" t="inlineStr">
        <is>
          <t>D06</t>
        </is>
      </c>
      <c r="B68" s="10" t="inlineStr">
        <is>
          <t>Arkansas</t>
        </is>
      </c>
      <c r="C68" s="2">
        <f>INDEX(Pipeline!$P$5:$P$24,MATCH(A68,Pipeline!$A$5:$A$24,0))</f>
        <v/>
      </c>
      <c r="D68" s="14">
        <f>INDEX(Pipeline!$O$5:$O$24,MATCH(A68,Pipeline!$A$5:$A$24,0))</f>
        <v/>
      </c>
      <c r="E68" s="14">
        <f>IF(C68=0,0,D68/C68)</f>
        <v/>
      </c>
    </row>
    <row r="69">
      <c r="A69" s="10" t="inlineStr">
        <is>
          <t>D06</t>
        </is>
      </c>
      <c r="B69" s="10" t="inlineStr">
        <is>
          <t>California</t>
        </is>
      </c>
      <c r="C69" s="2">
        <f>INDEX(Pipeline!$P$5:$P$24,MATCH(A69,Pipeline!$A$5:$A$24,0))</f>
        <v/>
      </c>
      <c r="D69" s="14">
        <f>INDEX(Pipeline!$O$5:$O$24,MATCH(A69,Pipeline!$A$5:$A$24,0))</f>
        <v/>
      </c>
      <c r="E69" s="14">
        <f>IF(C69=0,0,D69/C69)</f>
        <v/>
      </c>
    </row>
    <row r="70">
      <c r="A70" s="10" t="inlineStr">
        <is>
          <t>D06</t>
        </is>
      </c>
      <c r="B70" s="10" t="inlineStr">
        <is>
          <t>Colorado</t>
        </is>
      </c>
      <c r="C70" s="2">
        <f>INDEX(Pipeline!$P$5:$P$24,MATCH(A70,Pipeline!$A$5:$A$24,0))</f>
        <v/>
      </c>
      <c r="D70" s="14">
        <f>INDEX(Pipeline!$O$5:$O$24,MATCH(A70,Pipeline!$A$5:$A$24,0))</f>
        <v/>
      </c>
      <c r="E70" s="14">
        <f>IF(C70=0,0,D70/C70)</f>
        <v/>
      </c>
    </row>
    <row r="71">
      <c r="A71" s="10" t="inlineStr">
        <is>
          <t>D06</t>
        </is>
      </c>
      <c r="B71" s="10" t="inlineStr">
        <is>
          <t>Connecticut</t>
        </is>
      </c>
      <c r="C71" s="2">
        <f>INDEX(Pipeline!$P$5:$P$24,MATCH(A71,Pipeline!$A$5:$A$24,0))</f>
        <v/>
      </c>
      <c r="D71" s="14">
        <f>INDEX(Pipeline!$O$5:$O$24,MATCH(A71,Pipeline!$A$5:$A$24,0))</f>
        <v/>
      </c>
      <c r="E71" s="14">
        <f>IF(C71=0,0,D71/C71)</f>
        <v/>
      </c>
    </row>
    <row r="72">
      <c r="A72" s="10" t="inlineStr">
        <is>
          <t>D06</t>
        </is>
      </c>
      <c r="B72" s="10" t="inlineStr">
        <is>
          <t>Delaware</t>
        </is>
      </c>
      <c r="C72" s="2">
        <f>INDEX(Pipeline!$P$5:$P$24,MATCH(A72,Pipeline!$A$5:$A$24,0))</f>
        <v/>
      </c>
      <c r="D72" s="14">
        <f>INDEX(Pipeline!$O$5:$O$24,MATCH(A72,Pipeline!$A$5:$A$24,0))</f>
        <v/>
      </c>
      <c r="E72" s="14">
        <f>IF(C72=0,0,D72/C72)</f>
        <v/>
      </c>
    </row>
    <row r="73">
      <c r="A73" s="10" t="inlineStr">
        <is>
          <t>D06</t>
        </is>
      </c>
      <c r="B73" s="10" t="inlineStr">
        <is>
          <t>Florida</t>
        </is>
      </c>
      <c r="C73" s="2">
        <f>INDEX(Pipeline!$P$5:$P$24,MATCH(A73,Pipeline!$A$5:$A$24,0))</f>
        <v/>
      </c>
      <c r="D73" s="14">
        <f>INDEX(Pipeline!$O$5:$O$24,MATCH(A73,Pipeline!$A$5:$A$24,0))</f>
        <v/>
      </c>
      <c r="E73" s="14">
        <f>IF(C73=0,0,D73/C73)</f>
        <v/>
      </c>
    </row>
    <row r="74">
      <c r="A74" s="10" t="inlineStr">
        <is>
          <t>D06</t>
        </is>
      </c>
      <c r="B74" s="10" t="inlineStr">
        <is>
          <t>Georgia</t>
        </is>
      </c>
      <c r="C74" s="2">
        <f>INDEX(Pipeline!$P$5:$P$24,MATCH(A74,Pipeline!$A$5:$A$24,0))</f>
        <v/>
      </c>
      <c r="D74" s="14">
        <f>INDEX(Pipeline!$O$5:$O$24,MATCH(A74,Pipeline!$A$5:$A$24,0))</f>
        <v/>
      </c>
      <c r="E74" s="14">
        <f>IF(C74=0,0,D74/C74)</f>
        <v/>
      </c>
    </row>
    <row r="75">
      <c r="A75" s="10" t="inlineStr">
        <is>
          <t>D06</t>
        </is>
      </c>
      <c r="B75" s="10" t="inlineStr">
        <is>
          <t>Hawaii</t>
        </is>
      </c>
      <c r="C75" s="2">
        <f>INDEX(Pipeline!$P$5:$P$24,MATCH(A75,Pipeline!$A$5:$A$24,0))</f>
        <v/>
      </c>
      <c r="D75" s="14">
        <f>INDEX(Pipeline!$O$5:$O$24,MATCH(A75,Pipeline!$A$5:$A$24,0))</f>
        <v/>
      </c>
      <c r="E75" s="14">
        <f>IF(C75=0,0,D75/C75)</f>
        <v/>
      </c>
    </row>
    <row r="76">
      <c r="A76" s="10" t="inlineStr">
        <is>
          <t>D06</t>
        </is>
      </c>
      <c r="B76" s="10" t="inlineStr">
        <is>
          <t>Idaho</t>
        </is>
      </c>
      <c r="C76" s="2">
        <f>INDEX(Pipeline!$P$5:$P$24,MATCH(A76,Pipeline!$A$5:$A$24,0))</f>
        <v/>
      </c>
      <c r="D76" s="14">
        <f>INDEX(Pipeline!$O$5:$O$24,MATCH(A76,Pipeline!$A$5:$A$24,0))</f>
        <v/>
      </c>
      <c r="E76" s="14">
        <f>IF(C76=0,0,D76/C76)</f>
        <v/>
      </c>
    </row>
    <row r="77">
      <c r="A77" s="10" t="inlineStr">
        <is>
          <t>D06</t>
        </is>
      </c>
      <c r="B77" s="10" t="inlineStr">
        <is>
          <t>Illinois</t>
        </is>
      </c>
      <c r="C77" s="2">
        <f>INDEX(Pipeline!$P$5:$P$24,MATCH(A77,Pipeline!$A$5:$A$24,0))</f>
        <v/>
      </c>
      <c r="D77" s="14">
        <f>INDEX(Pipeline!$O$5:$O$24,MATCH(A77,Pipeline!$A$5:$A$24,0))</f>
        <v/>
      </c>
      <c r="E77" s="14">
        <f>IF(C77=0,0,D77/C77)</f>
        <v/>
      </c>
    </row>
    <row r="78">
      <c r="A78" s="10" t="inlineStr">
        <is>
          <t>D06</t>
        </is>
      </c>
      <c r="B78" s="10" t="inlineStr">
        <is>
          <t>Indiana</t>
        </is>
      </c>
      <c r="C78" s="2">
        <f>INDEX(Pipeline!$P$5:$P$24,MATCH(A78,Pipeline!$A$5:$A$24,0))</f>
        <v/>
      </c>
      <c r="D78" s="14">
        <f>INDEX(Pipeline!$O$5:$O$24,MATCH(A78,Pipeline!$A$5:$A$24,0))</f>
        <v/>
      </c>
      <c r="E78" s="14">
        <f>IF(C78=0,0,D78/C78)</f>
        <v/>
      </c>
    </row>
    <row r="79">
      <c r="A79" s="10" t="inlineStr">
        <is>
          <t>D06</t>
        </is>
      </c>
      <c r="B79" s="10" t="inlineStr">
        <is>
          <t>Iowa</t>
        </is>
      </c>
      <c r="C79" s="2">
        <f>INDEX(Pipeline!$P$5:$P$24,MATCH(A79,Pipeline!$A$5:$A$24,0))</f>
        <v/>
      </c>
      <c r="D79" s="14">
        <f>INDEX(Pipeline!$O$5:$O$24,MATCH(A79,Pipeline!$A$5:$A$24,0))</f>
        <v/>
      </c>
      <c r="E79" s="14">
        <f>IF(C79=0,0,D79/C79)</f>
        <v/>
      </c>
    </row>
    <row r="80">
      <c r="A80" s="10" t="inlineStr">
        <is>
          <t>D06</t>
        </is>
      </c>
      <c r="B80" s="10" t="inlineStr">
        <is>
          <t>Kansas</t>
        </is>
      </c>
      <c r="C80" s="2">
        <f>INDEX(Pipeline!$P$5:$P$24,MATCH(A80,Pipeline!$A$5:$A$24,0))</f>
        <v/>
      </c>
      <c r="D80" s="14">
        <f>INDEX(Pipeline!$O$5:$O$24,MATCH(A80,Pipeline!$A$5:$A$24,0))</f>
        <v/>
      </c>
      <c r="E80" s="14">
        <f>IF(C80=0,0,D80/C80)</f>
        <v/>
      </c>
    </row>
    <row r="81">
      <c r="A81" s="10" t="inlineStr">
        <is>
          <t>D06</t>
        </is>
      </c>
      <c r="B81" s="10" t="inlineStr">
        <is>
          <t>Kentucky</t>
        </is>
      </c>
      <c r="C81" s="2">
        <f>INDEX(Pipeline!$P$5:$P$24,MATCH(A81,Pipeline!$A$5:$A$24,0))</f>
        <v/>
      </c>
      <c r="D81" s="14">
        <f>INDEX(Pipeline!$O$5:$O$24,MATCH(A81,Pipeline!$A$5:$A$24,0))</f>
        <v/>
      </c>
      <c r="E81" s="14">
        <f>IF(C81=0,0,D81/C81)</f>
        <v/>
      </c>
    </row>
    <row r="82">
      <c r="A82" s="10" t="inlineStr">
        <is>
          <t>D06</t>
        </is>
      </c>
      <c r="B82" s="10" t="inlineStr">
        <is>
          <t>Louisiana</t>
        </is>
      </c>
      <c r="C82" s="2">
        <f>INDEX(Pipeline!$P$5:$P$24,MATCH(A82,Pipeline!$A$5:$A$24,0))</f>
        <v/>
      </c>
      <c r="D82" s="14">
        <f>INDEX(Pipeline!$O$5:$O$24,MATCH(A82,Pipeline!$A$5:$A$24,0))</f>
        <v/>
      </c>
      <c r="E82" s="14">
        <f>IF(C82=0,0,D82/C82)</f>
        <v/>
      </c>
    </row>
    <row r="83">
      <c r="A83" s="10" t="inlineStr">
        <is>
          <t>D06</t>
        </is>
      </c>
      <c r="B83" s="10" t="inlineStr">
        <is>
          <t>Maine</t>
        </is>
      </c>
      <c r="C83" s="2">
        <f>INDEX(Pipeline!$P$5:$P$24,MATCH(A83,Pipeline!$A$5:$A$24,0))</f>
        <v/>
      </c>
      <c r="D83" s="14">
        <f>INDEX(Pipeline!$O$5:$O$24,MATCH(A83,Pipeline!$A$5:$A$24,0))</f>
        <v/>
      </c>
      <c r="E83" s="14">
        <f>IF(C83=0,0,D83/C83)</f>
        <v/>
      </c>
    </row>
    <row r="84">
      <c r="A84" s="10" t="inlineStr">
        <is>
          <t>D06</t>
        </is>
      </c>
      <c r="B84" s="10" t="inlineStr">
        <is>
          <t>Maryland</t>
        </is>
      </c>
      <c r="C84" s="2">
        <f>INDEX(Pipeline!$P$5:$P$24,MATCH(A84,Pipeline!$A$5:$A$24,0))</f>
        <v/>
      </c>
      <c r="D84" s="14">
        <f>INDEX(Pipeline!$O$5:$O$24,MATCH(A84,Pipeline!$A$5:$A$24,0))</f>
        <v/>
      </c>
      <c r="E84" s="14">
        <f>IF(C84=0,0,D84/C84)</f>
        <v/>
      </c>
    </row>
    <row r="85">
      <c r="A85" s="10" t="inlineStr">
        <is>
          <t>D06</t>
        </is>
      </c>
      <c r="B85" s="10" t="inlineStr">
        <is>
          <t>Massachusetts</t>
        </is>
      </c>
      <c r="C85" s="2">
        <f>INDEX(Pipeline!$P$5:$P$24,MATCH(A85,Pipeline!$A$5:$A$24,0))</f>
        <v/>
      </c>
      <c r="D85" s="14">
        <f>INDEX(Pipeline!$O$5:$O$24,MATCH(A85,Pipeline!$A$5:$A$24,0))</f>
        <v/>
      </c>
      <c r="E85" s="14">
        <f>IF(C85=0,0,D85/C85)</f>
        <v/>
      </c>
    </row>
    <row r="86">
      <c r="A86" s="10" t="inlineStr">
        <is>
          <t>D06</t>
        </is>
      </c>
      <c r="B86" s="10" t="inlineStr">
        <is>
          <t>Michigan</t>
        </is>
      </c>
      <c r="C86" s="2">
        <f>INDEX(Pipeline!$P$5:$P$24,MATCH(A86,Pipeline!$A$5:$A$24,0))</f>
        <v/>
      </c>
      <c r="D86" s="14">
        <f>INDEX(Pipeline!$O$5:$O$24,MATCH(A86,Pipeline!$A$5:$A$24,0))</f>
        <v/>
      </c>
      <c r="E86" s="14">
        <f>IF(C86=0,0,D86/C86)</f>
        <v/>
      </c>
    </row>
    <row r="87">
      <c r="A87" s="10" t="inlineStr">
        <is>
          <t>D06</t>
        </is>
      </c>
      <c r="B87" s="10" t="inlineStr">
        <is>
          <t>Minnesota</t>
        </is>
      </c>
      <c r="C87" s="2">
        <f>INDEX(Pipeline!$P$5:$P$24,MATCH(A87,Pipeline!$A$5:$A$24,0))</f>
        <v/>
      </c>
      <c r="D87" s="14">
        <f>INDEX(Pipeline!$O$5:$O$24,MATCH(A87,Pipeline!$A$5:$A$24,0))</f>
        <v/>
      </c>
      <c r="E87" s="14">
        <f>IF(C87=0,0,D87/C87)</f>
        <v/>
      </c>
    </row>
    <row r="88">
      <c r="A88" s="10" t="inlineStr">
        <is>
          <t>D06</t>
        </is>
      </c>
      <c r="B88" s="10" t="inlineStr">
        <is>
          <t>Mississippi</t>
        </is>
      </c>
      <c r="C88" s="2">
        <f>INDEX(Pipeline!$P$5:$P$24,MATCH(A88,Pipeline!$A$5:$A$24,0))</f>
        <v/>
      </c>
      <c r="D88" s="14">
        <f>INDEX(Pipeline!$O$5:$O$24,MATCH(A88,Pipeline!$A$5:$A$24,0))</f>
        <v/>
      </c>
      <c r="E88" s="14">
        <f>IF(C88=0,0,D88/C88)</f>
        <v/>
      </c>
    </row>
    <row r="89">
      <c r="A89" s="10" t="inlineStr">
        <is>
          <t>D06</t>
        </is>
      </c>
      <c r="B89" s="10" t="inlineStr">
        <is>
          <t>Missouri</t>
        </is>
      </c>
      <c r="C89" s="2">
        <f>INDEX(Pipeline!$P$5:$P$24,MATCH(A89,Pipeline!$A$5:$A$24,0))</f>
        <v/>
      </c>
      <c r="D89" s="14">
        <f>INDEX(Pipeline!$O$5:$O$24,MATCH(A89,Pipeline!$A$5:$A$24,0))</f>
        <v/>
      </c>
      <c r="E89" s="14">
        <f>IF(C89=0,0,D89/C89)</f>
        <v/>
      </c>
    </row>
    <row r="90">
      <c r="A90" s="10" t="inlineStr">
        <is>
          <t>D06</t>
        </is>
      </c>
      <c r="B90" s="10" t="inlineStr">
        <is>
          <t>Montana</t>
        </is>
      </c>
      <c r="C90" s="2">
        <f>INDEX(Pipeline!$P$5:$P$24,MATCH(A90,Pipeline!$A$5:$A$24,0))</f>
        <v/>
      </c>
      <c r="D90" s="14">
        <f>INDEX(Pipeline!$O$5:$O$24,MATCH(A90,Pipeline!$A$5:$A$24,0))</f>
        <v/>
      </c>
      <c r="E90" s="14">
        <f>IF(C90=0,0,D90/C90)</f>
        <v/>
      </c>
    </row>
    <row r="91">
      <c r="A91" s="10" t="inlineStr">
        <is>
          <t>D06</t>
        </is>
      </c>
      <c r="B91" s="10" t="inlineStr">
        <is>
          <t>Nebraska</t>
        </is>
      </c>
      <c r="C91" s="2">
        <f>INDEX(Pipeline!$P$5:$P$24,MATCH(A91,Pipeline!$A$5:$A$24,0))</f>
        <v/>
      </c>
      <c r="D91" s="14">
        <f>INDEX(Pipeline!$O$5:$O$24,MATCH(A91,Pipeline!$A$5:$A$24,0))</f>
        <v/>
      </c>
      <c r="E91" s="14">
        <f>IF(C91=0,0,D91/C91)</f>
        <v/>
      </c>
    </row>
    <row r="92">
      <c r="A92" s="10" t="inlineStr">
        <is>
          <t>D06</t>
        </is>
      </c>
      <c r="B92" s="10" t="inlineStr">
        <is>
          <t>Nevada</t>
        </is>
      </c>
      <c r="C92" s="2">
        <f>INDEX(Pipeline!$P$5:$P$24,MATCH(A92,Pipeline!$A$5:$A$24,0))</f>
        <v/>
      </c>
      <c r="D92" s="14">
        <f>INDEX(Pipeline!$O$5:$O$24,MATCH(A92,Pipeline!$A$5:$A$24,0))</f>
        <v/>
      </c>
      <c r="E92" s="14">
        <f>IF(C92=0,0,D92/C92)</f>
        <v/>
      </c>
    </row>
    <row r="93">
      <c r="A93" s="10" t="inlineStr">
        <is>
          <t>D06</t>
        </is>
      </c>
      <c r="B93" s="10" t="inlineStr">
        <is>
          <t>New Hampshire</t>
        </is>
      </c>
      <c r="C93" s="2">
        <f>INDEX(Pipeline!$P$5:$P$24,MATCH(A93,Pipeline!$A$5:$A$24,0))</f>
        <v/>
      </c>
      <c r="D93" s="14">
        <f>INDEX(Pipeline!$O$5:$O$24,MATCH(A93,Pipeline!$A$5:$A$24,0))</f>
        <v/>
      </c>
      <c r="E93" s="14">
        <f>IF(C93=0,0,D93/C93)</f>
        <v/>
      </c>
    </row>
    <row r="94">
      <c r="A94" s="10" t="inlineStr">
        <is>
          <t>D06</t>
        </is>
      </c>
      <c r="B94" s="10" t="inlineStr">
        <is>
          <t>New Jersey</t>
        </is>
      </c>
      <c r="C94" s="2">
        <f>INDEX(Pipeline!$P$5:$P$24,MATCH(A94,Pipeline!$A$5:$A$24,0))</f>
        <v/>
      </c>
      <c r="D94" s="14">
        <f>INDEX(Pipeline!$O$5:$O$24,MATCH(A94,Pipeline!$A$5:$A$24,0))</f>
        <v/>
      </c>
      <c r="E94" s="14">
        <f>IF(C94=0,0,D94/C94)</f>
        <v/>
      </c>
    </row>
    <row r="95">
      <c r="A95" s="10" t="inlineStr">
        <is>
          <t>D06</t>
        </is>
      </c>
      <c r="B95" s="10" t="inlineStr">
        <is>
          <t>New Mexico</t>
        </is>
      </c>
      <c r="C95" s="2">
        <f>INDEX(Pipeline!$P$5:$P$24,MATCH(A95,Pipeline!$A$5:$A$24,0))</f>
        <v/>
      </c>
      <c r="D95" s="14">
        <f>INDEX(Pipeline!$O$5:$O$24,MATCH(A95,Pipeline!$A$5:$A$24,0))</f>
        <v/>
      </c>
      <c r="E95" s="14">
        <f>IF(C95=0,0,D95/C95)</f>
        <v/>
      </c>
    </row>
    <row r="96">
      <c r="A96" s="10" t="inlineStr">
        <is>
          <t>D06</t>
        </is>
      </c>
      <c r="B96" s="10" t="inlineStr">
        <is>
          <t>New York</t>
        </is>
      </c>
      <c r="C96" s="2">
        <f>INDEX(Pipeline!$P$5:$P$24,MATCH(A96,Pipeline!$A$5:$A$24,0))</f>
        <v/>
      </c>
      <c r="D96" s="14">
        <f>INDEX(Pipeline!$O$5:$O$24,MATCH(A96,Pipeline!$A$5:$A$24,0))</f>
        <v/>
      </c>
      <c r="E96" s="14">
        <f>IF(C96=0,0,D96/C96)</f>
        <v/>
      </c>
    </row>
    <row r="97">
      <c r="A97" s="10" t="inlineStr">
        <is>
          <t>D06</t>
        </is>
      </c>
      <c r="B97" s="10" t="inlineStr">
        <is>
          <t>North Carolina</t>
        </is>
      </c>
      <c r="C97" s="2">
        <f>INDEX(Pipeline!$P$5:$P$24,MATCH(A97,Pipeline!$A$5:$A$24,0))</f>
        <v/>
      </c>
      <c r="D97" s="14">
        <f>INDEX(Pipeline!$O$5:$O$24,MATCH(A97,Pipeline!$A$5:$A$24,0))</f>
        <v/>
      </c>
      <c r="E97" s="14">
        <f>IF(C97=0,0,D97/C97)</f>
        <v/>
      </c>
    </row>
    <row r="98">
      <c r="A98" s="10" t="inlineStr">
        <is>
          <t>D06</t>
        </is>
      </c>
      <c r="B98" s="10" t="inlineStr">
        <is>
          <t>North Dakota</t>
        </is>
      </c>
      <c r="C98" s="2">
        <f>INDEX(Pipeline!$P$5:$P$24,MATCH(A98,Pipeline!$A$5:$A$24,0))</f>
        <v/>
      </c>
      <c r="D98" s="14">
        <f>INDEX(Pipeline!$O$5:$O$24,MATCH(A98,Pipeline!$A$5:$A$24,0))</f>
        <v/>
      </c>
      <c r="E98" s="14">
        <f>IF(C98=0,0,D98/C98)</f>
        <v/>
      </c>
    </row>
    <row r="99">
      <c r="A99" s="10" t="inlineStr">
        <is>
          <t>D06</t>
        </is>
      </c>
      <c r="B99" s="10" t="inlineStr">
        <is>
          <t>Ohio</t>
        </is>
      </c>
      <c r="C99" s="2">
        <f>INDEX(Pipeline!$P$5:$P$24,MATCH(A99,Pipeline!$A$5:$A$24,0))</f>
        <v/>
      </c>
      <c r="D99" s="14">
        <f>INDEX(Pipeline!$O$5:$O$24,MATCH(A99,Pipeline!$A$5:$A$24,0))</f>
        <v/>
      </c>
      <c r="E99" s="14">
        <f>IF(C99=0,0,D99/C99)</f>
        <v/>
      </c>
    </row>
    <row r="100">
      <c r="A100" s="10" t="inlineStr">
        <is>
          <t>D06</t>
        </is>
      </c>
      <c r="B100" s="10" t="inlineStr">
        <is>
          <t>Oklahoma</t>
        </is>
      </c>
      <c r="C100" s="2">
        <f>INDEX(Pipeline!$P$5:$P$24,MATCH(A100,Pipeline!$A$5:$A$24,0))</f>
        <v/>
      </c>
      <c r="D100" s="14">
        <f>INDEX(Pipeline!$O$5:$O$24,MATCH(A100,Pipeline!$A$5:$A$24,0))</f>
        <v/>
      </c>
      <c r="E100" s="14">
        <f>IF(C100=0,0,D100/C100)</f>
        <v/>
      </c>
    </row>
    <row r="101">
      <c r="A101" s="10" t="inlineStr">
        <is>
          <t>D06</t>
        </is>
      </c>
      <c r="B101" s="10" t="inlineStr">
        <is>
          <t>Oregon</t>
        </is>
      </c>
      <c r="C101" s="2">
        <f>INDEX(Pipeline!$P$5:$P$24,MATCH(A101,Pipeline!$A$5:$A$24,0))</f>
        <v/>
      </c>
      <c r="D101" s="14">
        <f>INDEX(Pipeline!$O$5:$O$24,MATCH(A101,Pipeline!$A$5:$A$24,0))</f>
        <v/>
      </c>
      <c r="E101" s="14">
        <f>IF(C101=0,0,D101/C101)</f>
        <v/>
      </c>
    </row>
    <row r="102">
      <c r="A102" s="10" t="inlineStr">
        <is>
          <t>D06</t>
        </is>
      </c>
      <c r="B102" s="10" t="inlineStr">
        <is>
          <t>Pennsylvania</t>
        </is>
      </c>
      <c r="C102" s="2">
        <f>INDEX(Pipeline!$P$5:$P$24,MATCH(A102,Pipeline!$A$5:$A$24,0))</f>
        <v/>
      </c>
      <c r="D102" s="14">
        <f>INDEX(Pipeline!$O$5:$O$24,MATCH(A102,Pipeline!$A$5:$A$24,0))</f>
        <v/>
      </c>
      <c r="E102" s="14">
        <f>IF(C102=0,0,D102/C102)</f>
        <v/>
      </c>
    </row>
    <row r="103">
      <c r="A103" s="10" t="inlineStr">
        <is>
          <t>D06</t>
        </is>
      </c>
      <c r="B103" s="10" t="inlineStr">
        <is>
          <t>Rhode Island</t>
        </is>
      </c>
      <c r="C103" s="2">
        <f>INDEX(Pipeline!$P$5:$P$24,MATCH(A103,Pipeline!$A$5:$A$24,0))</f>
        <v/>
      </c>
      <c r="D103" s="14">
        <f>INDEX(Pipeline!$O$5:$O$24,MATCH(A103,Pipeline!$A$5:$A$24,0))</f>
        <v/>
      </c>
      <c r="E103" s="14">
        <f>IF(C103=0,0,D103/C103)</f>
        <v/>
      </c>
    </row>
    <row r="104">
      <c r="A104" s="10" t="inlineStr">
        <is>
          <t>D06</t>
        </is>
      </c>
      <c r="B104" s="10" t="inlineStr">
        <is>
          <t>South Carolina</t>
        </is>
      </c>
      <c r="C104" s="2">
        <f>INDEX(Pipeline!$P$5:$P$24,MATCH(A104,Pipeline!$A$5:$A$24,0))</f>
        <v/>
      </c>
      <c r="D104" s="14">
        <f>INDEX(Pipeline!$O$5:$O$24,MATCH(A104,Pipeline!$A$5:$A$24,0))</f>
        <v/>
      </c>
      <c r="E104" s="14">
        <f>IF(C104=0,0,D104/C104)</f>
        <v/>
      </c>
    </row>
    <row r="105">
      <c r="A105" s="10" t="inlineStr">
        <is>
          <t>D06</t>
        </is>
      </c>
      <c r="B105" s="10" t="inlineStr">
        <is>
          <t>South Dakota</t>
        </is>
      </c>
      <c r="C105" s="2">
        <f>INDEX(Pipeline!$P$5:$P$24,MATCH(A105,Pipeline!$A$5:$A$24,0))</f>
        <v/>
      </c>
      <c r="D105" s="14">
        <f>INDEX(Pipeline!$O$5:$O$24,MATCH(A105,Pipeline!$A$5:$A$24,0))</f>
        <v/>
      </c>
      <c r="E105" s="14">
        <f>IF(C105=0,0,D105/C105)</f>
        <v/>
      </c>
    </row>
    <row r="106">
      <c r="A106" s="10" t="inlineStr">
        <is>
          <t>D06</t>
        </is>
      </c>
      <c r="B106" s="10" t="inlineStr">
        <is>
          <t>Tennessee</t>
        </is>
      </c>
      <c r="C106" s="2">
        <f>INDEX(Pipeline!$P$5:$P$24,MATCH(A106,Pipeline!$A$5:$A$24,0))</f>
        <v/>
      </c>
      <c r="D106" s="14">
        <f>INDEX(Pipeline!$O$5:$O$24,MATCH(A106,Pipeline!$A$5:$A$24,0))</f>
        <v/>
      </c>
      <c r="E106" s="14">
        <f>IF(C106=0,0,D106/C106)</f>
        <v/>
      </c>
    </row>
    <row r="107">
      <c r="A107" s="10" t="inlineStr">
        <is>
          <t>D06</t>
        </is>
      </c>
      <c r="B107" s="10" t="inlineStr">
        <is>
          <t>Texas</t>
        </is>
      </c>
      <c r="C107" s="2">
        <f>INDEX(Pipeline!$P$5:$P$24,MATCH(A107,Pipeline!$A$5:$A$24,0))</f>
        <v/>
      </c>
      <c r="D107" s="14">
        <f>INDEX(Pipeline!$O$5:$O$24,MATCH(A107,Pipeline!$A$5:$A$24,0))</f>
        <v/>
      </c>
      <c r="E107" s="14">
        <f>IF(C107=0,0,D107/C107)</f>
        <v/>
      </c>
    </row>
    <row r="108">
      <c r="A108" s="10" t="inlineStr">
        <is>
          <t>D06</t>
        </is>
      </c>
      <c r="B108" s="10" t="inlineStr">
        <is>
          <t>Utah</t>
        </is>
      </c>
      <c r="C108" s="2">
        <f>INDEX(Pipeline!$P$5:$P$24,MATCH(A108,Pipeline!$A$5:$A$24,0))</f>
        <v/>
      </c>
      <c r="D108" s="14">
        <f>INDEX(Pipeline!$O$5:$O$24,MATCH(A108,Pipeline!$A$5:$A$24,0))</f>
        <v/>
      </c>
      <c r="E108" s="14">
        <f>IF(C108=0,0,D108/C108)</f>
        <v/>
      </c>
    </row>
    <row r="109">
      <c r="A109" s="10" t="inlineStr">
        <is>
          <t>D06</t>
        </is>
      </c>
      <c r="B109" s="10" t="inlineStr">
        <is>
          <t>Vermont</t>
        </is>
      </c>
      <c r="C109" s="2">
        <f>INDEX(Pipeline!$P$5:$P$24,MATCH(A109,Pipeline!$A$5:$A$24,0))</f>
        <v/>
      </c>
      <c r="D109" s="14">
        <f>INDEX(Pipeline!$O$5:$O$24,MATCH(A109,Pipeline!$A$5:$A$24,0))</f>
        <v/>
      </c>
      <c r="E109" s="14">
        <f>IF(C109=0,0,D109/C109)</f>
        <v/>
      </c>
    </row>
    <row r="110">
      <c r="A110" s="10" t="inlineStr">
        <is>
          <t>D06</t>
        </is>
      </c>
      <c r="B110" s="10" t="inlineStr">
        <is>
          <t>Virginia</t>
        </is>
      </c>
      <c r="C110" s="2">
        <f>INDEX(Pipeline!$P$5:$P$24,MATCH(A110,Pipeline!$A$5:$A$24,0))</f>
        <v/>
      </c>
      <c r="D110" s="14">
        <f>INDEX(Pipeline!$O$5:$O$24,MATCH(A110,Pipeline!$A$5:$A$24,0))</f>
        <v/>
      </c>
      <c r="E110" s="14">
        <f>IF(C110=0,0,D110/C110)</f>
        <v/>
      </c>
    </row>
    <row r="111">
      <c r="A111" s="10" t="inlineStr">
        <is>
          <t>D06</t>
        </is>
      </c>
      <c r="B111" s="10" t="inlineStr">
        <is>
          <t>Washington</t>
        </is>
      </c>
      <c r="C111" s="2">
        <f>INDEX(Pipeline!$P$5:$P$24,MATCH(A111,Pipeline!$A$5:$A$24,0))</f>
        <v/>
      </c>
      <c r="D111" s="14">
        <f>INDEX(Pipeline!$O$5:$O$24,MATCH(A111,Pipeline!$A$5:$A$24,0))</f>
        <v/>
      </c>
      <c r="E111" s="14">
        <f>IF(C111=0,0,D111/C111)</f>
        <v/>
      </c>
    </row>
    <row r="112">
      <c r="A112" s="10" t="inlineStr">
        <is>
          <t>D06</t>
        </is>
      </c>
      <c r="B112" s="10" t="inlineStr">
        <is>
          <t>West Virginia</t>
        </is>
      </c>
      <c r="C112" s="2">
        <f>INDEX(Pipeline!$P$5:$P$24,MATCH(A112,Pipeline!$A$5:$A$24,0))</f>
        <v/>
      </c>
      <c r="D112" s="14">
        <f>INDEX(Pipeline!$O$5:$O$24,MATCH(A112,Pipeline!$A$5:$A$24,0))</f>
        <v/>
      </c>
      <c r="E112" s="14">
        <f>IF(C112=0,0,D112/C112)</f>
        <v/>
      </c>
    </row>
    <row r="113">
      <c r="A113" s="10" t="inlineStr">
        <is>
          <t>D06</t>
        </is>
      </c>
      <c r="B113" s="10" t="inlineStr">
        <is>
          <t>Wisconsin</t>
        </is>
      </c>
      <c r="C113" s="2">
        <f>INDEX(Pipeline!$P$5:$P$24,MATCH(A113,Pipeline!$A$5:$A$24,0))</f>
        <v/>
      </c>
      <c r="D113" s="14">
        <f>INDEX(Pipeline!$O$5:$O$24,MATCH(A113,Pipeline!$A$5:$A$24,0))</f>
        <v/>
      </c>
      <c r="E113" s="14">
        <f>IF(C113=0,0,D113/C113)</f>
        <v/>
      </c>
    </row>
    <row r="114">
      <c r="A114" s="10" t="inlineStr">
        <is>
          <t>D06</t>
        </is>
      </c>
      <c r="B114" s="10" t="inlineStr">
        <is>
          <t>Wyoming</t>
        </is>
      </c>
      <c r="C114" s="2">
        <f>INDEX(Pipeline!$P$5:$P$24,MATCH(A114,Pipeline!$A$5:$A$24,0))</f>
        <v/>
      </c>
      <c r="D114" s="14">
        <f>INDEX(Pipeline!$O$5:$O$24,MATCH(A114,Pipeline!$A$5:$A$24,0))</f>
        <v/>
      </c>
      <c r="E114" s="14">
        <f>IF(C114=0,0,D114/C114)</f>
        <v/>
      </c>
    </row>
    <row r="115">
      <c r="A115" s="10" t="inlineStr">
        <is>
          <t>D07</t>
        </is>
      </c>
      <c r="B115" s="10" t="inlineStr">
        <is>
          <t>Virginia</t>
        </is>
      </c>
      <c r="C115" s="2">
        <f>INDEX(Pipeline!$P$5:$P$24,MATCH(A115,Pipeline!$A$5:$A$24,0))</f>
        <v/>
      </c>
      <c r="D115" s="14">
        <f>INDEX(Pipeline!$O$5:$O$24,MATCH(A115,Pipeline!$A$5:$A$24,0))</f>
        <v/>
      </c>
      <c r="E115" s="14">
        <f>IF(C115=0,0,D115/C115)</f>
        <v/>
      </c>
    </row>
    <row r="116">
      <c r="A116" s="10" t="inlineStr">
        <is>
          <t>D08</t>
        </is>
      </c>
      <c r="B116" s="10" t="inlineStr">
        <is>
          <t>Maryland</t>
        </is>
      </c>
      <c r="C116" s="2">
        <f>INDEX(Pipeline!$P$5:$P$24,MATCH(A116,Pipeline!$A$5:$A$24,0))</f>
        <v/>
      </c>
      <c r="D116" s="14">
        <f>INDEX(Pipeline!$O$5:$O$24,MATCH(A116,Pipeline!$A$5:$A$24,0))</f>
        <v/>
      </c>
      <c r="E116" s="14">
        <f>IF(C116=0,0,D116/C116)</f>
        <v/>
      </c>
    </row>
    <row r="117">
      <c r="A117" s="10" t="inlineStr">
        <is>
          <t>D09</t>
        </is>
      </c>
      <c r="B117" s="10" t="inlineStr">
        <is>
          <t>Georgia</t>
        </is>
      </c>
      <c r="C117" s="2">
        <f>INDEX(Pipeline!$P$5:$P$24,MATCH(A117,Pipeline!$A$5:$A$24,0))</f>
        <v/>
      </c>
      <c r="D117" s="14">
        <f>INDEX(Pipeline!$O$5:$O$24,MATCH(A117,Pipeline!$A$5:$A$24,0))</f>
        <v/>
      </c>
      <c r="E117" s="14">
        <f>IF(C117=0,0,D117/C117)</f>
        <v/>
      </c>
    </row>
    <row r="118">
      <c r="A118" s="10" t="inlineStr">
        <is>
          <t>D09</t>
        </is>
      </c>
      <c r="B118" s="10" t="inlineStr">
        <is>
          <t>Alabama</t>
        </is>
      </c>
      <c r="C118" s="2">
        <f>INDEX(Pipeline!$P$5:$P$24,MATCH(A118,Pipeline!$A$5:$A$24,0))</f>
        <v/>
      </c>
      <c r="D118" s="14">
        <f>INDEX(Pipeline!$O$5:$O$24,MATCH(A118,Pipeline!$A$5:$A$24,0))</f>
        <v/>
      </c>
      <c r="E118" s="14">
        <f>IF(C118=0,0,D118/C118)</f>
        <v/>
      </c>
    </row>
    <row r="119">
      <c r="A119" s="10" t="inlineStr">
        <is>
          <t>D09</t>
        </is>
      </c>
      <c r="B119" s="10" t="inlineStr">
        <is>
          <t>Tennessee</t>
        </is>
      </c>
      <c r="C119" s="2">
        <f>INDEX(Pipeline!$P$5:$P$24,MATCH(A119,Pipeline!$A$5:$A$24,0))</f>
        <v/>
      </c>
      <c r="D119" s="14">
        <f>INDEX(Pipeline!$O$5:$O$24,MATCH(A119,Pipeline!$A$5:$A$24,0))</f>
        <v/>
      </c>
      <c r="E119" s="14">
        <f>IF(C119=0,0,D119/C119)</f>
        <v/>
      </c>
    </row>
    <row r="120">
      <c r="A120" s="10" t="inlineStr">
        <is>
          <t>D10</t>
        </is>
      </c>
      <c r="B120" s="10" t="inlineStr">
        <is>
          <t>Illinois</t>
        </is>
      </c>
      <c r="C120" s="2">
        <f>INDEX(Pipeline!$P$5:$P$24,MATCH(A120,Pipeline!$A$5:$A$24,0))</f>
        <v/>
      </c>
      <c r="D120" s="14">
        <f>INDEX(Pipeline!$O$5:$O$24,MATCH(A120,Pipeline!$A$5:$A$24,0))</f>
        <v/>
      </c>
      <c r="E120" s="14">
        <f>IF(C120=0,0,D120/C120)</f>
        <v/>
      </c>
    </row>
    <row r="121">
      <c r="A121" s="10" t="inlineStr">
        <is>
          <t>D10</t>
        </is>
      </c>
      <c r="B121" s="10" t="inlineStr">
        <is>
          <t>Indiana</t>
        </is>
      </c>
      <c r="C121" s="2">
        <f>INDEX(Pipeline!$P$5:$P$24,MATCH(A121,Pipeline!$A$5:$A$24,0))</f>
        <v/>
      </c>
      <c r="D121" s="14">
        <f>INDEX(Pipeline!$O$5:$O$24,MATCH(A121,Pipeline!$A$5:$A$24,0))</f>
        <v/>
      </c>
      <c r="E121" s="14">
        <f>IF(C121=0,0,D121/C121)</f>
        <v/>
      </c>
    </row>
    <row r="122">
      <c r="A122" s="10" t="inlineStr">
        <is>
          <t>D10</t>
        </is>
      </c>
      <c r="B122" s="10" t="inlineStr">
        <is>
          <t>Ohio</t>
        </is>
      </c>
      <c r="C122" s="2">
        <f>INDEX(Pipeline!$P$5:$P$24,MATCH(A122,Pipeline!$A$5:$A$24,0))</f>
        <v/>
      </c>
      <c r="D122" s="14">
        <f>INDEX(Pipeline!$O$5:$O$24,MATCH(A122,Pipeline!$A$5:$A$24,0))</f>
        <v/>
      </c>
      <c r="E122" s="14">
        <f>IF(C122=0,0,D122/C122)</f>
        <v/>
      </c>
    </row>
    <row r="123">
      <c r="A123" s="10" t="inlineStr">
        <is>
          <t>D10</t>
        </is>
      </c>
      <c r="B123" s="10" t="inlineStr">
        <is>
          <t>Michigan</t>
        </is>
      </c>
      <c r="C123" s="2">
        <f>INDEX(Pipeline!$P$5:$P$24,MATCH(A123,Pipeline!$A$5:$A$24,0))</f>
        <v/>
      </c>
      <c r="D123" s="14">
        <f>INDEX(Pipeline!$O$5:$O$24,MATCH(A123,Pipeline!$A$5:$A$24,0))</f>
        <v/>
      </c>
      <c r="E123" s="14">
        <f>IF(C123=0,0,D123/C123)</f>
        <v/>
      </c>
    </row>
    <row r="124">
      <c r="A124" s="10" t="inlineStr">
        <is>
          <t>D10</t>
        </is>
      </c>
      <c r="B124" s="10" t="inlineStr">
        <is>
          <t>Wisconsin</t>
        </is>
      </c>
      <c r="C124" s="2">
        <f>INDEX(Pipeline!$P$5:$P$24,MATCH(A124,Pipeline!$A$5:$A$24,0))</f>
        <v/>
      </c>
      <c r="D124" s="14">
        <f>INDEX(Pipeline!$O$5:$O$24,MATCH(A124,Pipeline!$A$5:$A$24,0))</f>
        <v/>
      </c>
      <c r="E124" s="14">
        <f>IF(C124=0,0,D124/C124)</f>
        <v/>
      </c>
    </row>
    <row r="125">
      <c r="A125" s="10" t="inlineStr">
        <is>
          <t>D10</t>
        </is>
      </c>
      <c r="B125" s="10" t="inlineStr">
        <is>
          <t>Missouri</t>
        </is>
      </c>
      <c r="C125" s="2">
        <f>INDEX(Pipeline!$P$5:$P$24,MATCH(A125,Pipeline!$A$5:$A$24,0))</f>
        <v/>
      </c>
      <c r="D125" s="14">
        <f>INDEX(Pipeline!$O$5:$O$24,MATCH(A125,Pipeline!$A$5:$A$24,0))</f>
        <v/>
      </c>
      <c r="E125" s="14">
        <f>IF(C125=0,0,D125/C125)</f>
        <v/>
      </c>
    </row>
    <row r="126">
      <c r="A126" s="10" t="inlineStr">
        <is>
          <t>D10</t>
        </is>
      </c>
      <c r="B126" s="10" t="inlineStr">
        <is>
          <t>Iowa</t>
        </is>
      </c>
      <c r="C126" s="2">
        <f>INDEX(Pipeline!$P$5:$P$24,MATCH(A126,Pipeline!$A$5:$A$24,0))</f>
        <v/>
      </c>
      <c r="D126" s="14">
        <f>INDEX(Pipeline!$O$5:$O$24,MATCH(A126,Pipeline!$A$5:$A$24,0))</f>
        <v/>
      </c>
      <c r="E126" s="14">
        <f>IF(C126=0,0,D126/C126)</f>
        <v/>
      </c>
    </row>
    <row r="127">
      <c r="A127" s="10" t="inlineStr">
        <is>
          <t>D11</t>
        </is>
      </c>
      <c r="B127" s="10" t="inlineStr">
        <is>
          <t>Michigan</t>
        </is>
      </c>
      <c r="C127" s="2">
        <f>INDEX(Pipeline!$P$5:$P$24,MATCH(A127,Pipeline!$A$5:$A$24,0))</f>
        <v/>
      </c>
      <c r="D127" s="14">
        <f>INDEX(Pipeline!$O$5:$O$24,MATCH(A127,Pipeline!$A$5:$A$24,0))</f>
        <v/>
      </c>
      <c r="E127" s="14">
        <f>IF(C127=0,0,D127/C127)</f>
        <v/>
      </c>
    </row>
    <row r="128">
      <c r="A128" s="10" t="inlineStr">
        <is>
          <t>D12</t>
        </is>
      </c>
      <c r="B128" s="10" t="inlineStr">
        <is>
          <t>Colorado</t>
        </is>
      </c>
      <c r="C128" s="2">
        <f>INDEX(Pipeline!$P$5:$P$24,MATCH(A128,Pipeline!$A$5:$A$24,0))</f>
        <v/>
      </c>
      <c r="D128" s="14">
        <f>INDEX(Pipeline!$O$5:$O$24,MATCH(A128,Pipeline!$A$5:$A$24,0))</f>
        <v/>
      </c>
      <c r="E128" s="14">
        <f>IF(C128=0,0,D128/C128)</f>
        <v/>
      </c>
    </row>
    <row r="129">
      <c r="A129" s="10" t="inlineStr">
        <is>
          <t>D12</t>
        </is>
      </c>
      <c r="B129" s="10" t="inlineStr">
        <is>
          <t>Utah</t>
        </is>
      </c>
      <c r="C129" s="2">
        <f>INDEX(Pipeline!$P$5:$P$24,MATCH(A129,Pipeline!$A$5:$A$24,0))</f>
        <v/>
      </c>
      <c r="D129" s="14">
        <f>INDEX(Pipeline!$O$5:$O$24,MATCH(A129,Pipeline!$A$5:$A$24,0))</f>
        <v/>
      </c>
      <c r="E129" s="14">
        <f>IF(C129=0,0,D129/C129)</f>
        <v/>
      </c>
    </row>
    <row r="130">
      <c r="A130" s="10" t="inlineStr">
        <is>
          <t>D12</t>
        </is>
      </c>
      <c r="B130" s="10" t="inlineStr">
        <is>
          <t>Wyoming</t>
        </is>
      </c>
      <c r="C130" s="2">
        <f>INDEX(Pipeline!$P$5:$P$24,MATCH(A130,Pipeline!$A$5:$A$24,0))</f>
        <v/>
      </c>
      <c r="D130" s="14">
        <f>INDEX(Pipeline!$O$5:$O$24,MATCH(A130,Pipeline!$A$5:$A$24,0))</f>
        <v/>
      </c>
      <c r="E130" s="14">
        <f>IF(C130=0,0,D130/C130)</f>
        <v/>
      </c>
    </row>
    <row r="131">
      <c r="A131" s="10" t="inlineStr">
        <is>
          <t>D12</t>
        </is>
      </c>
      <c r="B131" s="10" t="inlineStr">
        <is>
          <t>New Mexico</t>
        </is>
      </c>
      <c r="C131" s="2">
        <f>INDEX(Pipeline!$P$5:$P$24,MATCH(A131,Pipeline!$A$5:$A$24,0))</f>
        <v/>
      </c>
      <c r="D131" s="14">
        <f>INDEX(Pipeline!$O$5:$O$24,MATCH(A131,Pipeline!$A$5:$A$24,0))</f>
        <v/>
      </c>
      <c r="E131" s="14">
        <f>IF(C131=0,0,D131/C131)</f>
        <v/>
      </c>
    </row>
    <row r="132">
      <c r="A132" s="10" t="inlineStr">
        <is>
          <t>D13</t>
        </is>
      </c>
      <c r="B132" s="10" t="inlineStr">
        <is>
          <t>North Carolina</t>
        </is>
      </c>
      <c r="C132" s="2">
        <f>INDEX(Pipeline!$P$5:$P$24,MATCH(A132,Pipeline!$A$5:$A$24,0))</f>
        <v/>
      </c>
      <c r="D132" s="14">
        <f>INDEX(Pipeline!$O$5:$O$24,MATCH(A132,Pipeline!$A$5:$A$24,0))</f>
        <v/>
      </c>
      <c r="E132" s="14">
        <f>IF(C132=0,0,D132/C132)</f>
        <v/>
      </c>
    </row>
    <row r="133">
      <c r="A133" s="10" t="inlineStr">
        <is>
          <t>D13</t>
        </is>
      </c>
      <c r="B133" s="10" t="inlineStr">
        <is>
          <t>South Carolina</t>
        </is>
      </c>
      <c r="C133" s="2">
        <f>INDEX(Pipeline!$P$5:$P$24,MATCH(A133,Pipeline!$A$5:$A$24,0))</f>
        <v/>
      </c>
      <c r="D133" s="14">
        <f>INDEX(Pipeline!$O$5:$O$24,MATCH(A133,Pipeline!$A$5:$A$24,0))</f>
        <v/>
      </c>
      <c r="E133" s="14">
        <f>IF(C133=0,0,D133/C133)</f>
        <v/>
      </c>
    </row>
    <row r="134">
      <c r="A134" s="10" t="inlineStr">
        <is>
          <t>D14</t>
        </is>
      </c>
      <c r="B134" s="10" t="inlineStr">
        <is>
          <t>New York</t>
        </is>
      </c>
      <c r="C134" s="2">
        <f>INDEX(Pipeline!$P$5:$P$24,MATCH(A134,Pipeline!$A$5:$A$24,0))</f>
        <v/>
      </c>
      <c r="D134" s="14">
        <f>INDEX(Pipeline!$O$5:$O$24,MATCH(A134,Pipeline!$A$5:$A$24,0))</f>
        <v/>
      </c>
      <c r="E134" s="14">
        <f>IF(C134=0,0,D134/C134)</f>
        <v/>
      </c>
    </row>
    <row r="135">
      <c r="A135" s="10" t="inlineStr">
        <is>
          <t>D14</t>
        </is>
      </c>
      <c r="B135" s="10" t="inlineStr">
        <is>
          <t>New Jersey</t>
        </is>
      </c>
      <c r="C135" s="2">
        <f>INDEX(Pipeline!$P$5:$P$24,MATCH(A135,Pipeline!$A$5:$A$24,0))</f>
        <v/>
      </c>
      <c r="D135" s="14">
        <f>INDEX(Pipeline!$O$5:$O$24,MATCH(A135,Pipeline!$A$5:$A$24,0))</f>
        <v/>
      </c>
      <c r="E135" s="14">
        <f>IF(C135=0,0,D135/C135)</f>
        <v/>
      </c>
    </row>
    <row r="136">
      <c r="A136" s="10" t="inlineStr">
        <is>
          <t>D14</t>
        </is>
      </c>
      <c r="B136" s="10" t="inlineStr">
        <is>
          <t>Pennsylvania</t>
        </is>
      </c>
      <c r="C136" s="2">
        <f>INDEX(Pipeline!$P$5:$P$24,MATCH(A136,Pipeline!$A$5:$A$24,0))</f>
        <v/>
      </c>
      <c r="D136" s="14">
        <f>INDEX(Pipeline!$O$5:$O$24,MATCH(A136,Pipeline!$A$5:$A$24,0))</f>
        <v/>
      </c>
      <c r="E136" s="14">
        <f>IF(C136=0,0,D136/C136)</f>
        <v/>
      </c>
    </row>
    <row r="137">
      <c r="A137" s="10" t="inlineStr">
        <is>
          <t>D14</t>
        </is>
      </c>
      <c r="B137" s="10" t="inlineStr">
        <is>
          <t>Connecticut</t>
        </is>
      </c>
      <c r="C137" s="2">
        <f>INDEX(Pipeline!$P$5:$P$24,MATCH(A137,Pipeline!$A$5:$A$24,0))</f>
        <v/>
      </c>
      <c r="D137" s="14">
        <f>INDEX(Pipeline!$O$5:$O$24,MATCH(A137,Pipeline!$A$5:$A$24,0))</f>
        <v/>
      </c>
      <c r="E137" s="14">
        <f>IF(C137=0,0,D137/C137)</f>
        <v/>
      </c>
    </row>
    <row r="138">
      <c r="A138" s="10" t="inlineStr">
        <is>
          <t>D14</t>
        </is>
      </c>
      <c r="B138" s="10" t="inlineStr">
        <is>
          <t>Massachusetts</t>
        </is>
      </c>
      <c r="C138" s="2">
        <f>INDEX(Pipeline!$P$5:$P$24,MATCH(A138,Pipeline!$A$5:$A$24,0))</f>
        <v/>
      </c>
      <c r="D138" s="14">
        <f>INDEX(Pipeline!$O$5:$O$24,MATCH(A138,Pipeline!$A$5:$A$24,0))</f>
        <v/>
      </c>
      <c r="E138" s="14">
        <f>IF(C138=0,0,D138/C138)</f>
        <v/>
      </c>
    </row>
    <row r="139">
      <c r="A139" s="10" t="inlineStr">
        <is>
          <t>D15</t>
        </is>
      </c>
      <c r="B139" s="10" t="inlineStr">
        <is>
          <t>Louisiana</t>
        </is>
      </c>
      <c r="C139" s="2">
        <f>INDEX(Pipeline!$P$5:$P$24,MATCH(A139,Pipeline!$A$5:$A$24,0))</f>
        <v/>
      </c>
      <c r="D139" s="14">
        <f>INDEX(Pipeline!$O$5:$O$24,MATCH(A139,Pipeline!$A$5:$A$24,0))</f>
        <v/>
      </c>
      <c r="E139" s="14">
        <f>IF(C139=0,0,D139/C139)</f>
        <v/>
      </c>
    </row>
    <row r="140">
      <c r="A140" s="10" t="inlineStr">
        <is>
          <t>D15</t>
        </is>
      </c>
      <c r="B140" s="10" t="inlineStr">
        <is>
          <t>Mississippi</t>
        </is>
      </c>
      <c r="C140" s="2">
        <f>INDEX(Pipeline!$P$5:$P$24,MATCH(A140,Pipeline!$A$5:$A$24,0))</f>
        <v/>
      </c>
      <c r="D140" s="14">
        <f>INDEX(Pipeline!$O$5:$O$24,MATCH(A140,Pipeline!$A$5:$A$24,0))</f>
        <v/>
      </c>
      <c r="E140" s="14">
        <f>IF(C140=0,0,D140/C140)</f>
        <v/>
      </c>
    </row>
    <row r="141">
      <c r="A141" s="10" t="inlineStr">
        <is>
          <t>D15</t>
        </is>
      </c>
      <c r="B141" s="10" t="inlineStr">
        <is>
          <t>Alabama</t>
        </is>
      </c>
      <c r="C141" s="2">
        <f>INDEX(Pipeline!$P$5:$P$24,MATCH(A141,Pipeline!$A$5:$A$24,0))</f>
        <v/>
      </c>
      <c r="D141" s="14">
        <f>INDEX(Pipeline!$O$5:$O$24,MATCH(A141,Pipeline!$A$5:$A$24,0))</f>
        <v/>
      </c>
      <c r="E141" s="14">
        <f>IF(C141=0,0,D141/C141)</f>
        <v/>
      </c>
    </row>
    <row r="142">
      <c r="A142" s="10" t="inlineStr">
        <is>
          <t>D16</t>
        </is>
      </c>
      <c r="B142" s="10" t="inlineStr">
        <is>
          <t>Alabama</t>
        </is>
      </c>
      <c r="C142" s="2">
        <f>INDEX(Pipeline!$P$5:$P$24,MATCH(A142,Pipeline!$A$5:$A$24,0))</f>
        <v/>
      </c>
      <c r="D142" s="14">
        <f>INDEX(Pipeline!$O$5:$O$24,MATCH(A142,Pipeline!$A$5:$A$24,0))</f>
        <v/>
      </c>
      <c r="E142" s="14">
        <f>IF(C142=0,0,D142/C142)</f>
        <v/>
      </c>
    </row>
    <row r="143">
      <c r="A143" s="10" t="inlineStr">
        <is>
          <t>D16</t>
        </is>
      </c>
      <c r="B143" s="10" t="inlineStr">
        <is>
          <t>Alaska</t>
        </is>
      </c>
      <c r="C143" s="2">
        <f>INDEX(Pipeline!$P$5:$P$24,MATCH(A143,Pipeline!$A$5:$A$24,0))</f>
        <v/>
      </c>
      <c r="D143" s="14">
        <f>INDEX(Pipeline!$O$5:$O$24,MATCH(A143,Pipeline!$A$5:$A$24,0))</f>
        <v/>
      </c>
      <c r="E143" s="14">
        <f>IF(C143=0,0,D143/C143)</f>
        <v/>
      </c>
    </row>
    <row r="144">
      <c r="A144" s="10" t="inlineStr">
        <is>
          <t>D16</t>
        </is>
      </c>
      <c r="B144" s="10" t="inlineStr">
        <is>
          <t>Arizona</t>
        </is>
      </c>
      <c r="C144" s="2">
        <f>INDEX(Pipeline!$P$5:$P$24,MATCH(A144,Pipeline!$A$5:$A$24,0))</f>
        <v/>
      </c>
      <c r="D144" s="14">
        <f>INDEX(Pipeline!$O$5:$O$24,MATCH(A144,Pipeline!$A$5:$A$24,0))</f>
        <v/>
      </c>
      <c r="E144" s="14">
        <f>IF(C144=0,0,D144/C144)</f>
        <v/>
      </c>
    </row>
    <row r="145">
      <c r="A145" s="10" t="inlineStr">
        <is>
          <t>D16</t>
        </is>
      </c>
      <c r="B145" s="10" t="inlineStr">
        <is>
          <t>Arkansas</t>
        </is>
      </c>
      <c r="C145" s="2">
        <f>INDEX(Pipeline!$P$5:$P$24,MATCH(A145,Pipeline!$A$5:$A$24,0))</f>
        <v/>
      </c>
      <c r="D145" s="14">
        <f>INDEX(Pipeline!$O$5:$O$24,MATCH(A145,Pipeline!$A$5:$A$24,0))</f>
        <v/>
      </c>
      <c r="E145" s="14">
        <f>IF(C145=0,0,D145/C145)</f>
        <v/>
      </c>
    </row>
    <row r="146">
      <c r="A146" s="10" t="inlineStr">
        <is>
          <t>D16</t>
        </is>
      </c>
      <c r="B146" s="10" t="inlineStr">
        <is>
          <t>California</t>
        </is>
      </c>
      <c r="C146" s="2">
        <f>INDEX(Pipeline!$P$5:$P$24,MATCH(A146,Pipeline!$A$5:$A$24,0))</f>
        <v/>
      </c>
      <c r="D146" s="14">
        <f>INDEX(Pipeline!$O$5:$O$24,MATCH(A146,Pipeline!$A$5:$A$24,0))</f>
        <v/>
      </c>
      <c r="E146" s="14">
        <f>IF(C146=0,0,D146/C146)</f>
        <v/>
      </c>
    </row>
    <row r="147">
      <c r="A147" s="10" t="inlineStr">
        <is>
          <t>D16</t>
        </is>
      </c>
      <c r="B147" s="10" t="inlineStr">
        <is>
          <t>Colorado</t>
        </is>
      </c>
      <c r="C147" s="2">
        <f>INDEX(Pipeline!$P$5:$P$24,MATCH(A147,Pipeline!$A$5:$A$24,0))</f>
        <v/>
      </c>
      <c r="D147" s="14">
        <f>INDEX(Pipeline!$O$5:$O$24,MATCH(A147,Pipeline!$A$5:$A$24,0))</f>
        <v/>
      </c>
      <c r="E147" s="14">
        <f>IF(C147=0,0,D147/C147)</f>
        <v/>
      </c>
    </row>
    <row r="148">
      <c r="A148" s="10" t="inlineStr">
        <is>
          <t>D16</t>
        </is>
      </c>
      <c r="B148" s="10" t="inlineStr">
        <is>
          <t>Connecticut</t>
        </is>
      </c>
      <c r="C148" s="2">
        <f>INDEX(Pipeline!$P$5:$P$24,MATCH(A148,Pipeline!$A$5:$A$24,0))</f>
        <v/>
      </c>
      <c r="D148" s="14">
        <f>INDEX(Pipeline!$O$5:$O$24,MATCH(A148,Pipeline!$A$5:$A$24,0))</f>
        <v/>
      </c>
      <c r="E148" s="14">
        <f>IF(C148=0,0,D148/C148)</f>
        <v/>
      </c>
    </row>
    <row r="149">
      <c r="A149" s="10" t="inlineStr">
        <is>
          <t>D16</t>
        </is>
      </c>
      <c r="B149" s="10" t="inlineStr">
        <is>
          <t>Delaware</t>
        </is>
      </c>
      <c r="C149" s="2">
        <f>INDEX(Pipeline!$P$5:$P$24,MATCH(A149,Pipeline!$A$5:$A$24,0))</f>
        <v/>
      </c>
      <c r="D149" s="14">
        <f>INDEX(Pipeline!$O$5:$O$24,MATCH(A149,Pipeline!$A$5:$A$24,0))</f>
        <v/>
      </c>
      <c r="E149" s="14">
        <f>IF(C149=0,0,D149/C149)</f>
        <v/>
      </c>
    </row>
    <row r="150">
      <c r="A150" s="10" t="inlineStr">
        <is>
          <t>D16</t>
        </is>
      </c>
      <c r="B150" s="10" t="inlineStr">
        <is>
          <t>Florida</t>
        </is>
      </c>
      <c r="C150" s="2">
        <f>INDEX(Pipeline!$P$5:$P$24,MATCH(A150,Pipeline!$A$5:$A$24,0))</f>
        <v/>
      </c>
      <c r="D150" s="14">
        <f>INDEX(Pipeline!$O$5:$O$24,MATCH(A150,Pipeline!$A$5:$A$24,0))</f>
        <v/>
      </c>
      <c r="E150" s="14">
        <f>IF(C150=0,0,D150/C150)</f>
        <v/>
      </c>
    </row>
    <row r="151">
      <c r="A151" s="10" t="inlineStr">
        <is>
          <t>D16</t>
        </is>
      </c>
      <c r="B151" s="10" t="inlineStr">
        <is>
          <t>Georgia</t>
        </is>
      </c>
      <c r="C151" s="2">
        <f>INDEX(Pipeline!$P$5:$P$24,MATCH(A151,Pipeline!$A$5:$A$24,0))</f>
        <v/>
      </c>
      <c r="D151" s="14">
        <f>INDEX(Pipeline!$O$5:$O$24,MATCH(A151,Pipeline!$A$5:$A$24,0))</f>
        <v/>
      </c>
      <c r="E151" s="14">
        <f>IF(C151=0,0,D151/C151)</f>
        <v/>
      </c>
    </row>
    <row r="152">
      <c r="A152" s="10" t="inlineStr">
        <is>
          <t>D16</t>
        </is>
      </c>
      <c r="B152" s="10" t="inlineStr">
        <is>
          <t>Hawaii</t>
        </is>
      </c>
      <c r="C152" s="2">
        <f>INDEX(Pipeline!$P$5:$P$24,MATCH(A152,Pipeline!$A$5:$A$24,0))</f>
        <v/>
      </c>
      <c r="D152" s="14">
        <f>INDEX(Pipeline!$O$5:$O$24,MATCH(A152,Pipeline!$A$5:$A$24,0))</f>
        <v/>
      </c>
      <c r="E152" s="14">
        <f>IF(C152=0,0,D152/C152)</f>
        <v/>
      </c>
    </row>
    <row r="153">
      <c r="A153" s="10" t="inlineStr">
        <is>
          <t>D16</t>
        </is>
      </c>
      <c r="B153" s="10" t="inlineStr">
        <is>
          <t>Idaho</t>
        </is>
      </c>
      <c r="C153" s="2">
        <f>INDEX(Pipeline!$P$5:$P$24,MATCH(A153,Pipeline!$A$5:$A$24,0))</f>
        <v/>
      </c>
      <c r="D153" s="14">
        <f>INDEX(Pipeline!$O$5:$O$24,MATCH(A153,Pipeline!$A$5:$A$24,0))</f>
        <v/>
      </c>
      <c r="E153" s="14">
        <f>IF(C153=0,0,D153/C153)</f>
        <v/>
      </c>
    </row>
    <row r="154">
      <c r="A154" s="10" t="inlineStr">
        <is>
          <t>D16</t>
        </is>
      </c>
      <c r="B154" s="10" t="inlineStr">
        <is>
          <t>Illinois</t>
        </is>
      </c>
      <c r="C154" s="2">
        <f>INDEX(Pipeline!$P$5:$P$24,MATCH(A154,Pipeline!$A$5:$A$24,0))</f>
        <v/>
      </c>
      <c r="D154" s="14">
        <f>INDEX(Pipeline!$O$5:$O$24,MATCH(A154,Pipeline!$A$5:$A$24,0))</f>
        <v/>
      </c>
      <c r="E154" s="14">
        <f>IF(C154=0,0,D154/C154)</f>
        <v/>
      </c>
    </row>
    <row r="155">
      <c r="A155" s="10" t="inlineStr">
        <is>
          <t>D16</t>
        </is>
      </c>
      <c r="B155" s="10" t="inlineStr">
        <is>
          <t>Indiana</t>
        </is>
      </c>
      <c r="C155" s="2">
        <f>INDEX(Pipeline!$P$5:$P$24,MATCH(A155,Pipeline!$A$5:$A$24,0))</f>
        <v/>
      </c>
      <c r="D155" s="14">
        <f>INDEX(Pipeline!$O$5:$O$24,MATCH(A155,Pipeline!$A$5:$A$24,0))</f>
        <v/>
      </c>
      <c r="E155" s="14">
        <f>IF(C155=0,0,D155/C155)</f>
        <v/>
      </c>
    </row>
    <row r="156">
      <c r="A156" s="10" t="inlineStr">
        <is>
          <t>D16</t>
        </is>
      </c>
      <c r="B156" s="10" t="inlineStr">
        <is>
          <t>Iowa</t>
        </is>
      </c>
      <c r="C156" s="2">
        <f>INDEX(Pipeline!$P$5:$P$24,MATCH(A156,Pipeline!$A$5:$A$24,0))</f>
        <v/>
      </c>
      <c r="D156" s="14">
        <f>INDEX(Pipeline!$O$5:$O$24,MATCH(A156,Pipeline!$A$5:$A$24,0))</f>
        <v/>
      </c>
      <c r="E156" s="14">
        <f>IF(C156=0,0,D156/C156)</f>
        <v/>
      </c>
    </row>
    <row r="157">
      <c r="A157" s="10" t="inlineStr">
        <is>
          <t>D16</t>
        </is>
      </c>
      <c r="B157" s="10" t="inlineStr">
        <is>
          <t>Kansas</t>
        </is>
      </c>
      <c r="C157" s="2">
        <f>INDEX(Pipeline!$P$5:$P$24,MATCH(A157,Pipeline!$A$5:$A$24,0))</f>
        <v/>
      </c>
      <c r="D157" s="14">
        <f>INDEX(Pipeline!$O$5:$O$24,MATCH(A157,Pipeline!$A$5:$A$24,0))</f>
        <v/>
      </c>
      <c r="E157" s="14">
        <f>IF(C157=0,0,D157/C157)</f>
        <v/>
      </c>
    </row>
    <row r="158">
      <c r="A158" s="10" t="inlineStr">
        <is>
          <t>D16</t>
        </is>
      </c>
      <c r="B158" s="10" t="inlineStr">
        <is>
          <t>Kentucky</t>
        </is>
      </c>
      <c r="C158" s="2">
        <f>INDEX(Pipeline!$P$5:$P$24,MATCH(A158,Pipeline!$A$5:$A$24,0))</f>
        <v/>
      </c>
      <c r="D158" s="14">
        <f>INDEX(Pipeline!$O$5:$O$24,MATCH(A158,Pipeline!$A$5:$A$24,0))</f>
        <v/>
      </c>
      <c r="E158" s="14">
        <f>IF(C158=0,0,D158/C158)</f>
        <v/>
      </c>
    </row>
    <row r="159">
      <c r="A159" s="10" t="inlineStr">
        <is>
          <t>D16</t>
        </is>
      </c>
      <c r="B159" s="10" t="inlineStr">
        <is>
          <t>Louisiana</t>
        </is>
      </c>
      <c r="C159" s="2">
        <f>INDEX(Pipeline!$P$5:$P$24,MATCH(A159,Pipeline!$A$5:$A$24,0))</f>
        <v/>
      </c>
      <c r="D159" s="14">
        <f>INDEX(Pipeline!$O$5:$O$24,MATCH(A159,Pipeline!$A$5:$A$24,0))</f>
        <v/>
      </c>
      <c r="E159" s="14">
        <f>IF(C159=0,0,D159/C159)</f>
        <v/>
      </c>
    </row>
    <row r="160">
      <c r="A160" s="10" t="inlineStr">
        <is>
          <t>D16</t>
        </is>
      </c>
      <c r="B160" s="10" t="inlineStr">
        <is>
          <t>Maine</t>
        </is>
      </c>
      <c r="C160" s="2">
        <f>INDEX(Pipeline!$P$5:$P$24,MATCH(A160,Pipeline!$A$5:$A$24,0))</f>
        <v/>
      </c>
      <c r="D160" s="14">
        <f>INDEX(Pipeline!$O$5:$O$24,MATCH(A160,Pipeline!$A$5:$A$24,0))</f>
        <v/>
      </c>
      <c r="E160" s="14">
        <f>IF(C160=0,0,D160/C160)</f>
        <v/>
      </c>
    </row>
    <row r="161">
      <c r="A161" s="10" t="inlineStr">
        <is>
          <t>D16</t>
        </is>
      </c>
      <c r="B161" s="10" t="inlineStr">
        <is>
          <t>Maryland</t>
        </is>
      </c>
      <c r="C161" s="2">
        <f>INDEX(Pipeline!$P$5:$P$24,MATCH(A161,Pipeline!$A$5:$A$24,0))</f>
        <v/>
      </c>
      <c r="D161" s="14">
        <f>INDEX(Pipeline!$O$5:$O$24,MATCH(A161,Pipeline!$A$5:$A$24,0))</f>
        <v/>
      </c>
      <c r="E161" s="14">
        <f>IF(C161=0,0,D161/C161)</f>
        <v/>
      </c>
    </row>
    <row r="162">
      <c r="A162" s="10" t="inlineStr">
        <is>
          <t>D16</t>
        </is>
      </c>
      <c r="B162" s="10" t="inlineStr">
        <is>
          <t>Massachusetts</t>
        </is>
      </c>
      <c r="C162" s="2">
        <f>INDEX(Pipeline!$P$5:$P$24,MATCH(A162,Pipeline!$A$5:$A$24,0))</f>
        <v/>
      </c>
      <c r="D162" s="14">
        <f>INDEX(Pipeline!$O$5:$O$24,MATCH(A162,Pipeline!$A$5:$A$24,0))</f>
        <v/>
      </c>
      <c r="E162" s="14">
        <f>IF(C162=0,0,D162/C162)</f>
        <v/>
      </c>
    </row>
    <row r="163">
      <c r="A163" s="10" t="inlineStr">
        <is>
          <t>D16</t>
        </is>
      </c>
      <c r="B163" s="10" t="inlineStr">
        <is>
          <t>Michigan</t>
        </is>
      </c>
      <c r="C163" s="2">
        <f>INDEX(Pipeline!$P$5:$P$24,MATCH(A163,Pipeline!$A$5:$A$24,0))</f>
        <v/>
      </c>
      <c r="D163" s="14">
        <f>INDEX(Pipeline!$O$5:$O$24,MATCH(A163,Pipeline!$A$5:$A$24,0))</f>
        <v/>
      </c>
      <c r="E163" s="14">
        <f>IF(C163=0,0,D163/C163)</f>
        <v/>
      </c>
    </row>
    <row r="164">
      <c r="A164" s="10" t="inlineStr">
        <is>
          <t>D16</t>
        </is>
      </c>
      <c r="B164" s="10" t="inlineStr">
        <is>
          <t>Minnesota</t>
        </is>
      </c>
      <c r="C164" s="2">
        <f>INDEX(Pipeline!$P$5:$P$24,MATCH(A164,Pipeline!$A$5:$A$24,0))</f>
        <v/>
      </c>
      <c r="D164" s="14">
        <f>INDEX(Pipeline!$O$5:$O$24,MATCH(A164,Pipeline!$A$5:$A$24,0))</f>
        <v/>
      </c>
      <c r="E164" s="14">
        <f>IF(C164=0,0,D164/C164)</f>
        <v/>
      </c>
    </row>
    <row r="165">
      <c r="A165" s="10" t="inlineStr">
        <is>
          <t>D16</t>
        </is>
      </c>
      <c r="B165" s="10" t="inlineStr">
        <is>
          <t>Mississippi</t>
        </is>
      </c>
      <c r="C165" s="2">
        <f>INDEX(Pipeline!$P$5:$P$24,MATCH(A165,Pipeline!$A$5:$A$24,0))</f>
        <v/>
      </c>
      <c r="D165" s="14">
        <f>INDEX(Pipeline!$O$5:$O$24,MATCH(A165,Pipeline!$A$5:$A$24,0))</f>
        <v/>
      </c>
      <c r="E165" s="14">
        <f>IF(C165=0,0,D165/C165)</f>
        <v/>
      </c>
    </row>
    <row r="166">
      <c r="A166" s="10" t="inlineStr">
        <is>
          <t>D16</t>
        </is>
      </c>
      <c r="B166" s="10" t="inlineStr">
        <is>
          <t>Missouri</t>
        </is>
      </c>
      <c r="C166" s="2">
        <f>INDEX(Pipeline!$P$5:$P$24,MATCH(A166,Pipeline!$A$5:$A$24,0))</f>
        <v/>
      </c>
      <c r="D166" s="14">
        <f>INDEX(Pipeline!$O$5:$O$24,MATCH(A166,Pipeline!$A$5:$A$24,0))</f>
        <v/>
      </c>
      <c r="E166" s="14">
        <f>IF(C166=0,0,D166/C166)</f>
        <v/>
      </c>
    </row>
    <row r="167">
      <c r="A167" s="10" t="inlineStr">
        <is>
          <t>D16</t>
        </is>
      </c>
      <c r="B167" s="10" t="inlineStr">
        <is>
          <t>Montana</t>
        </is>
      </c>
      <c r="C167" s="2">
        <f>INDEX(Pipeline!$P$5:$P$24,MATCH(A167,Pipeline!$A$5:$A$24,0))</f>
        <v/>
      </c>
      <c r="D167" s="14">
        <f>INDEX(Pipeline!$O$5:$O$24,MATCH(A167,Pipeline!$A$5:$A$24,0))</f>
        <v/>
      </c>
      <c r="E167" s="14">
        <f>IF(C167=0,0,D167/C167)</f>
        <v/>
      </c>
    </row>
    <row r="168">
      <c r="A168" s="10" t="inlineStr">
        <is>
          <t>D16</t>
        </is>
      </c>
      <c r="B168" s="10" t="inlineStr">
        <is>
          <t>Nebraska</t>
        </is>
      </c>
      <c r="C168" s="2">
        <f>INDEX(Pipeline!$P$5:$P$24,MATCH(A168,Pipeline!$A$5:$A$24,0))</f>
        <v/>
      </c>
      <c r="D168" s="14">
        <f>INDEX(Pipeline!$O$5:$O$24,MATCH(A168,Pipeline!$A$5:$A$24,0))</f>
        <v/>
      </c>
      <c r="E168" s="14">
        <f>IF(C168=0,0,D168/C168)</f>
        <v/>
      </c>
    </row>
    <row r="169">
      <c r="A169" s="10" t="inlineStr">
        <is>
          <t>D16</t>
        </is>
      </c>
      <c r="B169" s="10" t="inlineStr">
        <is>
          <t>Nevada</t>
        </is>
      </c>
      <c r="C169" s="2">
        <f>INDEX(Pipeline!$P$5:$P$24,MATCH(A169,Pipeline!$A$5:$A$24,0))</f>
        <v/>
      </c>
      <c r="D169" s="14">
        <f>INDEX(Pipeline!$O$5:$O$24,MATCH(A169,Pipeline!$A$5:$A$24,0))</f>
        <v/>
      </c>
      <c r="E169" s="14">
        <f>IF(C169=0,0,D169/C169)</f>
        <v/>
      </c>
    </row>
    <row r="170">
      <c r="A170" s="10" t="inlineStr">
        <is>
          <t>D16</t>
        </is>
      </c>
      <c r="B170" s="10" t="inlineStr">
        <is>
          <t>New Hampshire</t>
        </is>
      </c>
      <c r="C170" s="2">
        <f>INDEX(Pipeline!$P$5:$P$24,MATCH(A170,Pipeline!$A$5:$A$24,0))</f>
        <v/>
      </c>
      <c r="D170" s="14">
        <f>INDEX(Pipeline!$O$5:$O$24,MATCH(A170,Pipeline!$A$5:$A$24,0))</f>
        <v/>
      </c>
      <c r="E170" s="14">
        <f>IF(C170=0,0,D170/C170)</f>
        <v/>
      </c>
    </row>
    <row r="171">
      <c r="A171" s="10" t="inlineStr">
        <is>
          <t>D16</t>
        </is>
      </c>
      <c r="B171" s="10" t="inlineStr">
        <is>
          <t>New Jersey</t>
        </is>
      </c>
      <c r="C171" s="2">
        <f>INDEX(Pipeline!$P$5:$P$24,MATCH(A171,Pipeline!$A$5:$A$24,0))</f>
        <v/>
      </c>
      <c r="D171" s="14">
        <f>INDEX(Pipeline!$O$5:$O$24,MATCH(A171,Pipeline!$A$5:$A$24,0))</f>
        <v/>
      </c>
      <c r="E171" s="14">
        <f>IF(C171=0,0,D171/C171)</f>
        <v/>
      </c>
    </row>
    <row r="172">
      <c r="A172" s="10" t="inlineStr">
        <is>
          <t>D16</t>
        </is>
      </c>
      <c r="B172" s="10" t="inlineStr">
        <is>
          <t>New Mexico</t>
        </is>
      </c>
      <c r="C172" s="2">
        <f>INDEX(Pipeline!$P$5:$P$24,MATCH(A172,Pipeline!$A$5:$A$24,0))</f>
        <v/>
      </c>
      <c r="D172" s="14">
        <f>INDEX(Pipeline!$O$5:$O$24,MATCH(A172,Pipeline!$A$5:$A$24,0))</f>
        <v/>
      </c>
      <c r="E172" s="14">
        <f>IF(C172=0,0,D172/C172)</f>
        <v/>
      </c>
    </row>
    <row r="173">
      <c r="A173" s="10" t="inlineStr">
        <is>
          <t>D16</t>
        </is>
      </c>
      <c r="B173" s="10" t="inlineStr">
        <is>
          <t>New York</t>
        </is>
      </c>
      <c r="C173" s="2">
        <f>INDEX(Pipeline!$P$5:$P$24,MATCH(A173,Pipeline!$A$5:$A$24,0))</f>
        <v/>
      </c>
      <c r="D173" s="14">
        <f>INDEX(Pipeline!$O$5:$O$24,MATCH(A173,Pipeline!$A$5:$A$24,0))</f>
        <v/>
      </c>
      <c r="E173" s="14">
        <f>IF(C173=0,0,D173/C173)</f>
        <v/>
      </c>
    </row>
    <row r="174">
      <c r="A174" s="10" t="inlineStr">
        <is>
          <t>D16</t>
        </is>
      </c>
      <c r="B174" s="10" t="inlineStr">
        <is>
          <t>North Carolina</t>
        </is>
      </c>
      <c r="C174" s="2">
        <f>INDEX(Pipeline!$P$5:$P$24,MATCH(A174,Pipeline!$A$5:$A$24,0))</f>
        <v/>
      </c>
      <c r="D174" s="14">
        <f>INDEX(Pipeline!$O$5:$O$24,MATCH(A174,Pipeline!$A$5:$A$24,0))</f>
        <v/>
      </c>
      <c r="E174" s="14">
        <f>IF(C174=0,0,D174/C174)</f>
        <v/>
      </c>
    </row>
    <row r="175">
      <c r="A175" s="10" t="inlineStr">
        <is>
          <t>D16</t>
        </is>
      </c>
      <c r="B175" s="10" t="inlineStr">
        <is>
          <t>North Dakota</t>
        </is>
      </c>
      <c r="C175" s="2">
        <f>INDEX(Pipeline!$P$5:$P$24,MATCH(A175,Pipeline!$A$5:$A$24,0))</f>
        <v/>
      </c>
      <c r="D175" s="14">
        <f>INDEX(Pipeline!$O$5:$O$24,MATCH(A175,Pipeline!$A$5:$A$24,0))</f>
        <v/>
      </c>
      <c r="E175" s="14">
        <f>IF(C175=0,0,D175/C175)</f>
        <v/>
      </c>
    </row>
    <row r="176">
      <c r="A176" s="10" t="inlineStr">
        <is>
          <t>D16</t>
        </is>
      </c>
      <c r="B176" s="10" t="inlineStr">
        <is>
          <t>Ohio</t>
        </is>
      </c>
      <c r="C176" s="2">
        <f>INDEX(Pipeline!$P$5:$P$24,MATCH(A176,Pipeline!$A$5:$A$24,0))</f>
        <v/>
      </c>
      <c r="D176" s="14">
        <f>INDEX(Pipeline!$O$5:$O$24,MATCH(A176,Pipeline!$A$5:$A$24,0))</f>
        <v/>
      </c>
      <c r="E176" s="14">
        <f>IF(C176=0,0,D176/C176)</f>
        <v/>
      </c>
    </row>
    <row r="177">
      <c r="A177" s="10" t="inlineStr">
        <is>
          <t>D16</t>
        </is>
      </c>
      <c r="B177" s="10" t="inlineStr">
        <is>
          <t>Oklahoma</t>
        </is>
      </c>
      <c r="C177" s="2">
        <f>INDEX(Pipeline!$P$5:$P$24,MATCH(A177,Pipeline!$A$5:$A$24,0))</f>
        <v/>
      </c>
      <c r="D177" s="14">
        <f>INDEX(Pipeline!$O$5:$O$24,MATCH(A177,Pipeline!$A$5:$A$24,0))</f>
        <v/>
      </c>
      <c r="E177" s="14">
        <f>IF(C177=0,0,D177/C177)</f>
        <v/>
      </c>
    </row>
    <row r="178">
      <c r="A178" s="10" t="inlineStr">
        <is>
          <t>D16</t>
        </is>
      </c>
      <c r="B178" s="10" t="inlineStr">
        <is>
          <t>Oregon</t>
        </is>
      </c>
      <c r="C178" s="2">
        <f>INDEX(Pipeline!$P$5:$P$24,MATCH(A178,Pipeline!$A$5:$A$24,0))</f>
        <v/>
      </c>
      <c r="D178" s="14">
        <f>INDEX(Pipeline!$O$5:$O$24,MATCH(A178,Pipeline!$A$5:$A$24,0))</f>
        <v/>
      </c>
      <c r="E178" s="14">
        <f>IF(C178=0,0,D178/C178)</f>
        <v/>
      </c>
    </row>
    <row r="179">
      <c r="A179" s="10" t="inlineStr">
        <is>
          <t>D16</t>
        </is>
      </c>
      <c r="B179" s="10" t="inlineStr">
        <is>
          <t>Pennsylvania</t>
        </is>
      </c>
      <c r="C179" s="2">
        <f>INDEX(Pipeline!$P$5:$P$24,MATCH(A179,Pipeline!$A$5:$A$24,0))</f>
        <v/>
      </c>
      <c r="D179" s="14">
        <f>INDEX(Pipeline!$O$5:$O$24,MATCH(A179,Pipeline!$A$5:$A$24,0))</f>
        <v/>
      </c>
      <c r="E179" s="14">
        <f>IF(C179=0,0,D179/C179)</f>
        <v/>
      </c>
    </row>
    <row r="180">
      <c r="A180" s="10" t="inlineStr">
        <is>
          <t>D16</t>
        </is>
      </c>
      <c r="B180" s="10" t="inlineStr">
        <is>
          <t>Rhode Island</t>
        </is>
      </c>
      <c r="C180" s="2">
        <f>INDEX(Pipeline!$P$5:$P$24,MATCH(A180,Pipeline!$A$5:$A$24,0))</f>
        <v/>
      </c>
      <c r="D180" s="14">
        <f>INDEX(Pipeline!$O$5:$O$24,MATCH(A180,Pipeline!$A$5:$A$24,0))</f>
        <v/>
      </c>
      <c r="E180" s="14">
        <f>IF(C180=0,0,D180/C180)</f>
        <v/>
      </c>
    </row>
    <row r="181">
      <c r="A181" s="10" t="inlineStr">
        <is>
          <t>D16</t>
        </is>
      </c>
      <c r="B181" s="10" t="inlineStr">
        <is>
          <t>South Carolina</t>
        </is>
      </c>
      <c r="C181" s="2">
        <f>INDEX(Pipeline!$P$5:$P$24,MATCH(A181,Pipeline!$A$5:$A$24,0))</f>
        <v/>
      </c>
      <c r="D181" s="14">
        <f>INDEX(Pipeline!$O$5:$O$24,MATCH(A181,Pipeline!$A$5:$A$24,0))</f>
        <v/>
      </c>
      <c r="E181" s="14">
        <f>IF(C181=0,0,D181/C181)</f>
        <v/>
      </c>
    </row>
    <row r="182">
      <c r="A182" s="10" t="inlineStr">
        <is>
          <t>D16</t>
        </is>
      </c>
      <c r="B182" s="10" t="inlineStr">
        <is>
          <t>South Dakota</t>
        </is>
      </c>
      <c r="C182" s="2">
        <f>INDEX(Pipeline!$P$5:$P$24,MATCH(A182,Pipeline!$A$5:$A$24,0))</f>
        <v/>
      </c>
      <c r="D182" s="14">
        <f>INDEX(Pipeline!$O$5:$O$24,MATCH(A182,Pipeline!$A$5:$A$24,0))</f>
        <v/>
      </c>
      <c r="E182" s="14">
        <f>IF(C182=0,0,D182/C182)</f>
        <v/>
      </c>
    </row>
    <row r="183">
      <c r="A183" s="10" t="inlineStr">
        <is>
          <t>D16</t>
        </is>
      </c>
      <c r="B183" s="10" t="inlineStr">
        <is>
          <t>Tennessee</t>
        </is>
      </c>
      <c r="C183" s="2">
        <f>INDEX(Pipeline!$P$5:$P$24,MATCH(A183,Pipeline!$A$5:$A$24,0))</f>
        <v/>
      </c>
      <c r="D183" s="14">
        <f>INDEX(Pipeline!$O$5:$O$24,MATCH(A183,Pipeline!$A$5:$A$24,0))</f>
        <v/>
      </c>
      <c r="E183" s="14">
        <f>IF(C183=0,0,D183/C183)</f>
        <v/>
      </c>
    </row>
    <row r="184">
      <c r="A184" s="10" t="inlineStr">
        <is>
          <t>D16</t>
        </is>
      </c>
      <c r="B184" s="10" t="inlineStr">
        <is>
          <t>Texas</t>
        </is>
      </c>
      <c r="C184" s="2">
        <f>INDEX(Pipeline!$P$5:$P$24,MATCH(A184,Pipeline!$A$5:$A$24,0))</f>
        <v/>
      </c>
      <c r="D184" s="14">
        <f>INDEX(Pipeline!$O$5:$O$24,MATCH(A184,Pipeline!$A$5:$A$24,0))</f>
        <v/>
      </c>
      <c r="E184" s="14">
        <f>IF(C184=0,0,D184/C184)</f>
        <v/>
      </c>
    </row>
    <row r="185">
      <c r="A185" s="10" t="inlineStr">
        <is>
          <t>D16</t>
        </is>
      </c>
      <c r="B185" s="10" t="inlineStr">
        <is>
          <t>Utah</t>
        </is>
      </c>
      <c r="C185" s="2">
        <f>INDEX(Pipeline!$P$5:$P$24,MATCH(A185,Pipeline!$A$5:$A$24,0))</f>
        <v/>
      </c>
      <c r="D185" s="14">
        <f>INDEX(Pipeline!$O$5:$O$24,MATCH(A185,Pipeline!$A$5:$A$24,0))</f>
        <v/>
      </c>
      <c r="E185" s="14">
        <f>IF(C185=0,0,D185/C185)</f>
        <v/>
      </c>
    </row>
    <row r="186">
      <c r="A186" s="10" t="inlineStr">
        <is>
          <t>D16</t>
        </is>
      </c>
      <c r="B186" s="10" t="inlineStr">
        <is>
          <t>Vermont</t>
        </is>
      </c>
      <c r="C186" s="2">
        <f>INDEX(Pipeline!$P$5:$P$24,MATCH(A186,Pipeline!$A$5:$A$24,0))</f>
        <v/>
      </c>
      <c r="D186" s="14">
        <f>INDEX(Pipeline!$O$5:$O$24,MATCH(A186,Pipeline!$A$5:$A$24,0))</f>
        <v/>
      </c>
      <c r="E186" s="14">
        <f>IF(C186=0,0,D186/C186)</f>
        <v/>
      </c>
    </row>
    <row r="187">
      <c r="A187" s="10" t="inlineStr">
        <is>
          <t>D16</t>
        </is>
      </c>
      <c r="B187" s="10" t="inlineStr">
        <is>
          <t>Virginia</t>
        </is>
      </c>
      <c r="C187" s="2">
        <f>INDEX(Pipeline!$P$5:$P$24,MATCH(A187,Pipeline!$A$5:$A$24,0))</f>
        <v/>
      </c>
      <c r="D187" s="14">
        <f>INDEX(Pipeline!$O$5:$O$24,MATCH(A187,Pipeline!$A$5:$A$24,0))</f>
        <v/>
      </c>
      <c r="E187" s="14">
        <f>IF(C187=0,0,D187/C187)</f>
        <v/>
      </c>
    </row>
    <row r="188">
      <c r="A188" s="10" t="inlineStr">
        <is>
          <t>D16</t>
        </is>
      </c>
      <c r="B188" s="10" t="inlineStr">
        <is>
          <t>Washington</t>
        </is>
      </c>
      <c r="C188" s="2">
        <f>INDEX(Pipeline!$P$5:$P$24,MATCH(A188,Pipeline!$A$5:$A$24,0))</f>
        <v/>
      </c>
      <c r="D188" s="14">
        <f>INDEX(Pipeline!$O$5:$O$24,MATCH(A188,Pipeline!$A$5:$A$24,0))</f>
        <v/>
      </c>
      <c r="E188" s="14">
        <f>IF(C188=0,0,D188/C188)</f>
        <v/>
      </c>
    </row>
    <row r="189">
      <c r="A189" s="10" t="inlineStr">
        <is>
          <t>D16</t>
        </is>
      </c>
      <c r="B189" s="10" t="inlineStr">
        <is>
          <t>West Virginia</t>
        </is>
      </c>
      <c r="C189" s="2">
        <f>INDEX(Pipeline!$P$5:$P$24,MATCH(A189,Pipeline!$A$5:$A$24,0))</f>
        <v/>
      </c>
      <c r="D189" s="14">
        <f>INDEX(Pipeline!$O$5:$O$24,MATCH(A189,Pipeline!$A$5:$A$24,0))</f>
        <v/>
      </c>
      <c r="E189" s="14">
        <f>IF(C189=0,0,D189/C189)</f>
        <v/>
      </c>
    </row>
    <row r="190">
      <c r="A190" s="10" t="inlineStr">
        <is>
          <t>D16</t>
        </is>
      </c>
      <c r="B190" s="10" t="inlineStr">
        <is>
          <t>Wisconsin</t>
        </is>
      </c>
      <c r="C190" s="2">
        <f>INDEX(Pipeline!$P$5:$P$24,MATCH(A190,Pipeline!$A$5:$A$24,0))</f>
        <v/>
      </c>
      <c r="D190" s="14">
        <f>INDEX(Pipeline!$O$5:$O$24,MATCH(A190,Pipeline!$A$5:$A$24,0))</f>
        <v/>
      </c>
      <c r="E190" s="14">
        <f>IF(C190=0,0,D190/C190)</f>
        <v/>
      </c>
    </row>
    <row r="191">
      <c r="A191" s="10" t="inlineStr">
        <is>
          <t>D16</t>
        </is>
      </c>
      <c r="B191" s="10" t="inlineStr">
        <is>
          <t>Wyoming</t>
        </is>
      </c>
      <c r="C191" s="2">
        <f>INDEX(Pipeline!$P$5:$P$24,MATCH(A191,Pipeline!$A$5:$A$24,0))</f>
        <v/>
      </c>
      <c r="D191" s="14">
        <f>INDEX(Pipeline!$O$5:$O$24,MATCH(A191,Pipeline!$A$5:$A$24,0))</f>
        <v/>
      </c>
      <c r="E191" s="14">
        <f>IF(C191=0,0,D191/C191)</f>
        <v/>
      </c>
    </row>
    <row r="192">
      <c r="A192" s="10" t="inlineStr">
        <is>
          <t>D17</t>
        </is>
      </c>
      <c r="B192" s="10" t="inlineStr">
        <is>
          <t>Arizona</t>
        </is>
      </c>
      <c r="C192" s="2">
        <f>INDEX(Pipeline!$P$5:$P$24,MATCH(A192,Pipeline!$A$5:$A$24,0))</f>
        <v/>
      </c>
      <c r="D192" s="14">
        <f>INDEX(Pipeline!$O$5:$O$24,MATCH(A192,Pipeline!$A$5:$A$24,0))</f>
        <v/>
      </c>
      <c r="E192" s="14">
        <f>IF(C192=0,0,D192/C192)</f>
        <v/>
      </c>
    </row>
    <row r="193">
      <c r="A193" s="10" t="inlineStr">
        <is>
          <t>D17</t>
        </is>
      </c>
      <c r="B193" s="10" t="inlineStr">
        <is>
          <t>Nevada</t>
        </is>
      </c>
      <c r="C193" s="2">
        <f>INDEX(Pipeline!$P$5:$P$24,MATCH(A193,Pipeline!$A$5:$A$24,0))</f>
        <v/>
      </c>
      <c r="D193" s="14">
        <f>INDEX(Pipeline!$O$5:$O$24,MATCH(A193,Pipeline!$A$5:$A$24,0))</f>
        <v/>
      </c>
      <c r="E193" s="14">
        <f>IF(C193=0,0,D193/C193)</f>
        <v/>
      </c>
    </row>
    <row r="194">
      <c r="A194" s="10" t="inlineStr">
        <is>
          <t>D18</t>
        </is>
      </c>
      <c r="B194" s="10" t="inlineStr">
        <is>
          <t>Montana</t>
        </is>
      </c>
      <c r="C194" s="2">
        <f>INDEX(Pipeline!$P$5:$P$24,MATCH(A194,Pipeline!$A$5:$A$24,0))</f>
        <v/>
      </c>
      <c r="D194" s="14">
        <f>INDEX(Pipeline!$O$5:$O$24,MATCH(A194,Pipeline!$A$5:$A$24,0))</f>
        <v/>
      </c>
      <c r="E194" s="14">
        <f>IF(C194=0,0,D194/C194)</f>
        <v/>
      </c>
    </row>
    <row r="195">
      <c r="A195" s="10" t="inlineStr">
        <is>
          <t>D19</t>
        </is>
      </c>
      <c r="B195" s="10" t="inlineStr">
        <is>
          <t>New York</t>
        </is>
      </c>
      <c r="C195" s="2">
        <f>INDEX(Pipeline!$P$5:$P$24,MATCH(A195,Pipeline!$A$5:$A$24,0))</f>
        <v/>
      </c>
      <c r="D195" s="14">
        <f>INDEX(Pipeline!$O$5:$O$24,MATCH(A195,Pipeline!$A$5:$A$24,0))</f>
        <v/>
      </c>
      <c r="E195" s="14">
        <f>IF(C195=0,0,D195/C195)</f>
        <v/>
      </c>
    </row>
    <row r="196">
      <c r="A196" s="10" t="inlineStr">
        <is>
          <t>D19</t>
        </is>
      </c>
      <c r="B196" s="10" t="inlineStr">
        <is>
          <t>New Jersey</t>
        </is>
      </c>
      <c r="C196" s="2">
        <f>INDEX(Pipeline!$P$5:$P$24,MATCH(A196,Pipeline!$A$5:$A$24,0))</f>
        <v/>
      </c>
      <c r="D196" s="14">
        <f>INDEX(Pipeline!$O$5:$O$24,MATCH(A196,Pipeline!$A$5:$A$24,0))</f>
        <v/>
      </c>
      <c r="E196" s="14">
        <f>IF(C196=0,0,D196/C196)</f>
        <v/>
      </c>
    </row>
    <row r="197">
      <c r="A197" s="10" t="inlineStr">
        <is>
          <t>D19</t>
        </is>
      </c>
      <c r="B197" s="10" t="inlineStr">
        <is>
          <t>Pennsylvania</t>
        </is>
      </c>
      <c r="C197" s="2">
        <f>INDEX(Pipeline!$P$5:$P$24,MATCH(A197,Pipeline!$A$5:$A$24,0))</f>
        <v/>
      </c>
      <c r="D197" s="14">
        <f>INDEX(Pipeline!$O$5:$O$24,MATCH(A197,Pipeline!$A$5:$A$24,0))</f>
        <v/>
      </c>
      <c r="E197" s="14">
        <f>IF(C197=0,0,D197/C197)</f>
        <v/>
      </c>
    </row>
    <row r="198">
      <c r="A198" s="10" t="inlineStr">
        <is>
          <t>D20</t>
        </is>
      </c>
      <c r="B198" s="10" t="inlineStr">
        <is>
          <t>Pennsylvania</t>
        </is>
      </c>
      <c r="C198" s="2">
        <f>INDEX(Pipeline!$P$5:$P$24,MATCH(A198,Pipeline!$A$5:$A$24,0))</f>
        <v/>
      </c>
      <c r="D198" s="14">
        <f>INDEX(Pipeline!$O$5:$O$24,MATCH(A198,Pipeline!$A$5:$A$24,0))</f>
        <v/>
      </c>
      <c r="E198" s="14">
        <f>IF(C198=0,0,D198/C198)</f>
        <v/>
      </c>
    </row>
    <row r="199">
      <c r="A199" s="10" t="inlineStr">
        <is>
          <t>D20</t>
        </is>
      </c>
      <c r="B199" s="10" t="inlineStr">
        <is>
          <t>New Jersey</t>
        </is>
      </c>
      <c r="C199" s="2">
        <f>INDEX(Pipeline!$P$5:$P$24,MATCH(A199,Pipeline!$A$5:$A$24,0))</f>
        <v/>
      </c>
      <c r="D199" s="14">
        <f>INDEX(Pipeline!$O$5:$O$24,MATCH(A199,Pipeline!$A$5:$A$24,0))</f>
        <v/>
      </c>
      <c r="E199" s="14">
        <f>IF(C199=0,0,D199/C199)</f>
        <v/>
      </c>
    </row>
    <row r="200">
      <c r="A200" s="10" t="inlineStr">
        <is>
          <t>D20</t>
        </is>
      </c>
      <c r="B200" s="10" t="inlineStr">
        <is>
          <t>Delaware</t>
        </is>
      </c>
      <c r="C200" s="2">
        <f>INDEX(Pipeline!$P$5:$P$24,MATCH(A200,Pipeline!$A$5:$A$24,0))</f>
        <v/>
      </c>
      <c r="D200" s="14">
        <f>INDEX(Pipeline!$O$5:$O$24,MATCH(A200,Pipeline!$A$5:$A$24,0))</f>
        <v/>
      </c>
      <c r="E200" s="14">
        <f>IF(C200=0,0,D200/C200)</f>
        <v/>
      </c>
    </row>
    <row r="201">
      <c r="A201" s="10" t="inlineStr">
        <is>
          <t>D20</t>
        </is>
      </c>
      <c r="B201" s="10" t="inlineStr">
        <is>
          <t>Maryland</t>
        </is>
      </c>
      <c r="C201" s="2">
        <f>INDEX(Pipeline!$P$5:$P$24,MATCH(A201,Pipeline!$A$5:$A$24,0))</f>
        <v/>
      </c>
      <c r="D201" s="14">
        <f>INDEX(Pipeline!$O$5:$O$24,MATCH(A201,Pipeline!$A$5:$A$24,0))</f>
        <v/>
      </c>
      <c r="E201" s="14">
        <f>IF(C201=0,0,D201/C201)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4" customWidth="1" min="3" max="3"/>
    <col width="24" customWidth="1" min="4" max="4"/>
    <col width="110" customWidth="1" min="6" max="6"/>
  </cols>
  <sheetData>
    <row r="1">
      <c r="A1" s="6" t="inlineStr">
        <is>
          <t>state</t>
        </is>
      </c>
      <c r="B1" s="6" t="inlineStr">
        <is>
          <t>abbr</t>
        </is>
      </c>
      <c r="C1" s="6" t="inlineStr">
        <is>
          <t>FHWA registrations 2023</t>
        </is>
      </c>
      <c r="D1" s="6" t="inlineStr">
        <is>
          <t>New vehicle sales 2025</t>
        </is>
      </c>
      <c r="E1" s="2" t="n"/>
      <c r="F1" s="4" t="inlineStr">
        <is>
          <t>Sources</t>
        </is>
      </c>
    </row>
    <row r="2">
      <c r="A2" s="10" t="inlineStr">
        <is>
          <t>Alabama</t>
        </is>
      </c>
      <c r="B2" s="10" t="inlineStr">
        <is>
          <t>AL</t>
        </is>
      </c>
      <c r="C2" s="22" t="n">
        <v>5446619</v>
      </c>
      <c r="D2" s="22" t="n">
        <v>224295</v>
      </c>
      <c r="E2" s="2" t="n"/>
      <c r="F2" s="13" t="inlineStr">
        <is>
          <t>FHWA Highway Statistics 2023, Table MV-1, 'All motor vehicles, Total' column: https://www.fhwa.dot.gov/policyinformation/statistics/2023/pdf/mv1.pdf</t>
        </is>
      </c>
    </row>
    <row r="3">
      <c r="A3" s="10" t="inlineStr">
        <is>
          <t>Alaska</t>
        </is>
      </c>
      <c r="B3" s="10" t="inlineStr">
        <is>
          <t>AK</t>
        </is>
      </c>
      <c r="C3" s="22" t="n">
        <v>680974</v>
      </c>
      <c r="D3" s="22" t="n">
        <v>32832</v>
      </c>
      <c r="E3" s="2" t="n"/>
      <c r="F3" s="13" t="inlineStr">
        <is>
          <t>2025 new-vehicle sales by state: F&amp;I Tools Full Year 2025 Vehicle Sales Report via https://www.factorywarrantylist.com/car-sales-by-state.html</t>
        </is>
      </c>
    </row>
    <row r="4">
      <c r="A4" s="10" t="inlineStr">
        <is>
          <t>Arizona</t>
        </is>
      </c>
      <c r="B4" s="10" t="inlineStr">
        <is>
          <t>AZ</t>
        </is>
      </c>
      <c r="C4" s="22" t="n">
        <v>6447062</v>
      </c>
      <c r="D4" s="22" t="n">
        <v>397830</v>
      </c>
      <c r="E4" s="2" t="n"/>
      <c r="F4" s="13" t="inlineStr">
        <is>
          <t>DC has no 2025 sales figure; its market score uses registrations only.</t>
        </is>
      </c>
    </row>
    <row r="5">
      <c r="A5" s="10" t="inlineStr">
        <is>
          <t>Arkansas</t>
        </is>
      </c>
      <c r="B5" s="10" t="inlineStr">
        <is>
          <t>AR</t>
        </is>
      </c>
      <c r="C5" s="22" t="n">
        <v>3338322</v>
      </c>
      <c r="D5" s="22" t="n">
        <v>136190</v>
      </c>
      <c r="E5" s="2" t="n"/>
      <c r="F5" s="13" t="inlineStr">
        <is>
          <t>Caveat: Oklahoma's sales figure (610k) looks high relative to its registrations. Market is only 5% of the score, so it doesn't move the top 10.</t>
        </is>
      </c>
    </row>
    <row r="6">
      <c r="A6" s="10" t="inlineStr">
        <is>
          <t>California</t>
        </is>
      </c>
      <c r="B6" s="10" t="inlineStr">
        <is>
          <t>CA</t>
        </is>
      </c>
      <c r="C6" s="22" t="n">
        <v>31057329</v>
      </c>
      <c r="D6" s="22" t="n">
        <v>1806762</v>
      </c>
      <c r="E6" s="2" t="n"/>
      <c r="F6" s="13" t="inlineStr">
        <is>
          <t>Used-vehicle volume by state isn't included; registrations stand in for the total title/registration workload.</t>
        </is>
      </c>
    </row>
    <row r="7">
      <c r="A7" s="10" t="inlineStr">
        <is>
          <t>Colorado</t>
        </is>
      </c>
      <c r="B7" s="10" t="inlineStr">
        <is>
          <t>CO</t>
        </is>
      </c>
      <c r="C7" s="22" t="n">
        <v>5211580</v>
      </c>
      <c r="D7" s="22" t="n">
        <v>222349</v>
      </c>
      <c r="E7" s="2" t="n"/>
      <c r="F7" s="2" t="n"/>
    </row>
    <row r="8">
      <c r="A8" s="10" t="inlineStr">
        <is>
          <t>Connecticut</t>
        </is>
      </c>
      <c r="B8" s="10" t="inlineStr">
        <is>
          <t>CT</t>
        </is>
      </c>
      <c r="C8" s="22" t="n">
        <v>2837111</v>
      </c>
      <c r="D8" s="22" t="n">
        <v>151624</v>
      </c>
      <c r="E8" s="2" t="n"/>
      <c r="F8" s="2" t="n"/>
    </row>
    <row r="9">
      <c r="A9" s="10" t="inlineStr">
        <is>
          <t>Delaware</t>
        </is>
      </c>
      <c r="B9" s="10" t="inlineStr">
        <is>
          <t>DE</t>
        </is>
      </c>
      <c r="C9" s="22" t="n">
        <v>445240</v>
      </c>
      <c r="D9" s="22" t="n">
        <v>51423</v>
      </c>
      <c r="E9" s="2" t="n"/>
      <c r="F9" s="2" t="n"/>
    </row>
    <row r="10">
      <c r="A10" s="10" t="inlineStr">
        <is>
          <t>District of Columbia</t>
        </is>
      </c>
      <c r="B10" s="10" t="inlineStr">
        <is>
          <t>DC</t>
        </is>
      </c>
      <c r="C10" s="22" t="n">
        <v>344088</v>
      </c>
      <c r="D10" s="22" t="n"/>
      <c r="E10" s="2" t="n"/>
      <c r="F10" s="2" t="n"/>
    </row>
    <row r="11">
      <c r="A11" s="10" t="inlineStr">
        <is>
          <t>Florida</t>
        </is>
      </c>
      <c r="B11" s="10" t="inlineStr">
        <is>
          <t>FL</t>
        </is>
      </c>
      <c r="C11" s="22" t="n">
        <v>19519552</v>
      </c>
      <c r="D11" s="22" t="n">
        <v>1491315</v>
      </c>
      <c r="E11" s="2" t="n"/>
      <c r="F11" s="2" t="n"/>
    </row>
    <row r="12">
      <c r="A12" s="10" t="inlineStr">
        <is>
          <t>Georgia</t>
        </is>
      </c>
      <c r="B12" s="10" t="inlineStr">
        <is>
          <t>GA</t>
        </is>
      </c>
      <c r="C12" s="22" t="n">
        <v>9195822</v>
      </c>
      <c r="D12" s="22" t="n">
        <v>528080</v>
      </c>
      <c r="E12" s="2" t="n"/>
      <c r="F12" s="2" t="n"/>
    </row>
    <row r="13">
      <c r="A13" s="10" t="inlineStr">
        <is>
          <t>Hawaii</t>
        </is>
      </c>
      <c r="B13" s="10" t="inlineStr">
        <is>
          <t>HI</t>
        </is>
      </c>
      <c r="C13" s="22" t="n">
        <v>1262693</v>
      </c>
      <c r="D13" s="22" t="n">
        <v>66648</v>
      </c>
      <c r="E13" s="2" t="n"/>
      <c r="F13" s="2" t="n"/>
    </row>
    <row r="14">
      <c r="A14" s="10" t="inlineStr">
        <is>
          <t>Idaho</t>
        </is>
      </c>
      <c r="B14" s="10" t="inlineStr">
        <is>
          <t>ID</t>
        </is>
      </c>
      <c r="C14" s="22" t="n">
        <v>2057655</v>
      </c>
      <c r="D14" s="22" t="n">
        <v>80321</v>
      </c>
      <c r="E14" s="2" t="n"/>
      <c r="F14" s="2" t="n"/>
    </row>
    <row r="15">
      <c r="A15" s="10" t="inlineStr">
        <is>
          <t>Illinois</t>
        </is>
      </c>
      <c r="B15" s="10" t="inlineStr">
        <is>
          <t>IL</t>
        </is>
      </c>
      <c r="C15" s="22" t="n">
        <v>10139685</v>
      </c>
      <c r="D15" s="22" t="n">
        <v>578640</v>
      </c>
      <c r="E15" s="2" t="n"/>
      <c r="F15" s="2" t="n"/>
    </row>
    <row r="16">
      <c r="A16" s="10" t="inlineStr">
        <is>
          <t>Indiana</t>
        </is>
      </c>
      <c r="B16" s="10" t="inlineStr">
        <is>
          <t>IN</t>
        </is>
      </c>
      <c r="C16" s="22" t="n">
        <v>5775462</v>
      </c>
      <c r="D16" s="22" t="n">
        <v>257628</v>
      </c>
      <c r="E16" s="2" t="n"/>
      <c r="F16" s="2" t="n"/>
    </row>
    <row r="17">
      <c r="A17" s="10" t="inlineStr">
        <is>
          <t>Iowa</t>
        </is>
      </c>
      <c r="B17" s="10" t="inlineStr">
        <is>
          <t>IA</t>
        </is>
      </c>
      <c r="C17" s="22" t="n">
        <v>3827780</v>
      </c>
      <c r="D17" s="22" t="n">
        <v>129070</v>
      </c>
      <c r="E17" s="2" t="n"/>
      <c r="F17" s="2" t="n"/>
    </row>
    <row r="18">
      <c r="A18" s="10" t="inlineStr">
        <is>
          <t>Kansas</t>
        </is>
      </c>
      <c r="B18" s="10" t="inlineStr">
        <is>
          <t>KS</t>
        </is>
      </c>
      <c r="C18" s="22" t="n">
        <v>2472852</v>
      </c>
      <c r="D18" s="22" t="n">
        <v>104168</v>
      </c>
      <c r="E18" s="2" t="n"/>
      <c r="F18" s="2" t="n"/>
    </row>
    <row r="19">
      <c r="A19" s="10" t="inlineStr">
        <is>
          <t>Kentucky</t>
        </is>
      </c>
      <c r="B19" s="10" t="inlineStr">
        <is>
          <t>KY</t>
        </is>
      </c>
      <c r="C19" s="22" t="n">
        <v>4551497</v>
      </c>
      <c r="D19" s="22" t="n">
        <v>156226</v>
      </c>
      <c r="E19" s="2" t="n"/>
      <c r="F19" s="2" t="n"/>
    </row>
    <row r="20">
      <c r="A20" s="10" t="inlineStr">
        <is>
          <t>Louisiana</t>
        </is>
      </c>
      <c r="B20" s="10" t="inlineStr">
        <is>
          <t>LA</t>
        </is>
      </c>
      <c r="C20" s="22" t="n">
        <v>4522457</v>
      </c>
      <c r="D20" s="22" t="n">
        <v>218561</v>
      </c>
      <c r="E20" s="2" t="n"/>
      <c r="F20" s="2" t="n"/>
    </row>
    <row r="21">
      <c r="A21" s="10" t="inlineStr">
        <is>
          <t>Maine</t>
        </is>
      </c>
      <c r="B21" s="10" t="inlineStr">
        <is>
          <t>ME</t>
        </is>
      </c>
      <c r="C21" s="22" t="n">
        <v>1366649</v>
      </c>
      <c r="D21" s="22" t="n">
        <v>65758</v>
      </c>
      <c r="E21" s="2" t="n"/>
      <c r="F21" s="2" t="n"/>
    </row>
    <row r="22">
      <c r="A22" s="10" t="inlineStr">
        <is>
          <t>Maryland</t>
        </is>
      </c>
      <c r="B22" s="10" t="inlineStr">
        <is>
          <t>MD</t>
        </is>
      </c>
      <c r="C22" s="22" t="n">
        <v>4935108</v>
      </c>
      <c r="D22" s="22" t="n">
        <v>227269</v>
      </c>
      <c r="E22" s="2" t="n"/>
      <c r="F22" s="2" t="n"/>
    </row>
    <row r="23">
      <c r="A23" s="10" t="inlineStr">
        <is>
          <t>Massachusetts</t>
        </is>
      </c>
      <c r="B23" s="10" t="inlineStr">
        <is>
          <t>MA</t>
        </is>
      </c>
      <c r="C23" s="22" t="n">
        <v>5239321</v>
      </c>
      <c r="D23" s="22" t="n">
        <v>345806</v>
      </c>
      <c r="E23" s="2" t="n"/>
      <c r="F23" s="2" t="n"/>
    </row>
    <row r="24">
      <c r="A24" s="10" t="inlineStr">
        <is>
          <t>Michigan</t>
        </is>
      </c>
      <c r="B24" s="10" t="inlineStr">
        <is>
          <t>MI</t>
        </is>
      </c>
      <c r="C24" s="22" t="n">
        <v>9907454</v>
      </c>
      <c r="D24" s="22" t="n">
        <v>585383</v>
      </c>
      <c r="E24" s="2" t="n"/>
      <c r="F24" s="2" t="n"/>
    </row>
    <row r="25">
      <c r="A25" s="10" t="inlineStr">
        <is>
          <t>Minnesota</t>
        </is>
      </c>
      <c r="B25" s="10" t="inlineStr">
        <is>
          <t>MN</t>
        </is>
      </c>
      <c r="C25" s="22" t="n">
        <v>5848091</v>
      </c>
      <c r="D25" s="22" t="n">
        <v>251130</v>
      </c>
      <c r="E25" s="2" t="n"/>
      <c r="F25" s="2" t="n"/>
    </row>
    <row r="26">
      <c r="A26" s="10" t="inlineStr">
        <is>
          <t>Mississippi</t>
        </is>
      </c>
      <c r="B26" s="10" t="inlineStr">
        <is>
          <t>MS</t>
        </is>
      </c>
      <c r="C26" s="22" t="n">
        <v>2228844</v>
      </c>
      <c r="D26" s="22" t="n">
        <v>113425</v>
      </c>
      <c r="E26" s="2" t="n"/>
      <c r="F26" s="2" t="n"/>
    </row>
    <row r="27">
      <c r="A27" s="10" t="inlineStr">
        <is>
          <t>Missouri</t>
        </is>
      </c>
      <c r="B27" s="10" t="inlineStr">
        <is>
          <t>MO</t>
        </is>
      </c>
      <c r="C27" s="22" t="n">
        <v>5504704</v>
      </c>
      <c r="D27" s="22" t="n">
        <v>330080</v>
      </c>
      <c r="E27" s="2" t="n"/>
      <c r="F27" s="2" t="n"/>
    </row>
    <row r="28">
      <c r="A28" s="10" t="inlineStr">
        <is>
          <t>Montana</t>
        </is>
      </c>
      <c r="B28" s="10" t="inlineStr">
        <is>
          <t>MT</t>
        </is>
      </c>
      <c r="C28" s="22" t="n">
        <v>2357075</v>
      </c>
      <c r="D28" s="22" t="n">
        <v>69348</v>
      </c>
      <c r="E28" s="2" t="n"/>
      <c r="F28" s="2" t="n"/>
    </row>
    <row r="29">
      <c r="A29" s="10" t="inlineStr">
        <is>
          <t>Nebraska</t>
        </is>
      </c>
      <c r="B29" s="10" t="inlineStr">
        <is>
          <t>NE</t>
        </is>
      </c>
      <c r="C29" s="22" t="n">
        <v>1974401</v>
      </c>
      <c r="D29" s="22" t="n">
        <v>86148</v>
      </c>
      <c r="E29" s="2" t="n"/>
      <c r="F29" s="2" t="n"/>
    </row>
    <row r="30">
      <c r="A30" s="10" t="inlineStr">
        <is>
          <t>Nevada</t>
        </is>
      </c>
      <c r="B30" s="10" t="inlineStr">
        <is>
          <t>NV</t>
        </is>
      </c>
      <c r="C30" s="22" t="n">
        <v>2681539</v>
      </c>
      <c r="D30" s="22" t="n">
        <v>158141</v>
      </c>
      <c r="E30" s="2" t="n"/>
      <c r="F30" s="2" t="n"/>
    </row>
    <row r="31">
      <c r="A31" s="10" t="inlineStr">
        <is>
          <t>New Hampshire</t>
        </is>
      </c>
      <c r="B31" s="10" t="inlineStr">
        <is>
          <t>NH</t>
        </is>
      </c>
      <c r="C31" s="22" t="n">
        <v>1405435</v>
      </c>
      <c r="D31" s="22" t="n">
        <v>101294</v>
      </c>
      <c r="E31" s="2" t="n"/>
      <c r="F31" s="2" t="n"/>
    </row>
    <row r="32">
      <c r="A32" s="10" t="inlineStr">
        <is>
          <t>New Jersey</t>
        </is>
      </c>
      <c r="B32" s="10" t="inlineStr">
        <is>
          <t>NJ</t>
        </is>
      </c>
      <c r="C32" s="22" t="n">
        <v>5991811</v>
      </c>
      <c r="D32" s="22" t="n">
        <v>527148</v>
      </c>
      <c r="E32" s="2" t="n"/>
      <c r="F32" s="2" t="n"/>
    </row>
    <row r="33">
      <c r="A33" s="10" t="inlineStr">
        <is>
          <t>New Mexico</t>
        </is>
      </c>
      <c r="B33" s="10" t="inlineStr">
        <is>
          <t>NM</t>
        </is>
      </c>
      <c r="C33" s="22" t="n">
        <v>1909072</v>
      </c>
      <c r="D33" s="22" t="n">
        <v>81132</v>
      </c>
      <c r="E33" s="2" t="n"/>
      <c r="F33" s="2" t="n"/>
    </row>
    <row r="34">
      <c r="A34" s="10" t="inlineStr">
        <is>
          <t>New York</t>
        </is>
      </c>
      <c r="B34" s="10" t="inlineStr">
        <is>
          <t>NY</t>
        </is>
      </c>
      <c r="C34" s="22" t="n">
        <v>9361933</v>
      </c>
      <c r="D34" s="22" t="n">
        <v>898439</v>
      </c>
      <c r="E34" s="2" t="n"/>
      <c r="F34" s="2" t="n"/>
    </row>
    <row r="35">
      <c r="A35" s="10" t="inlineStr">
        <is>
          <t>North Carolina</t>
        </is>
      </c>
      <c r="B35" s="10" t="inlineStr">
        <is>
          <t>NC</t>
        </is>
      </c>
      <c r="C35" s="22" t="n">
        <v>8752729</v>
      </c>
      <c r="D35" s="22" t="n">
        <v>482579</v>
      </c>
      <c r="E35" s="2" t="n"/>
      <c r="F35" s="2" t="n"/>
    </row>
    <row r="36">
      <c r="A36" s="10" t="inlineStr">
        <is>
          <t>North Dakota</t>
        </is>
      </c>
      <c r="B36" s="10" t="inlineStr">
        <is>
          <t>ND</t>
        </is>
      </c>
      <c r="C36" s="22" t="n">
        <v>1060838</v>
      </c>
      <c r="D36" s="22" t="n">
        <v>44021</v>
      </c>
      <c r="E36" s="2" t="n"/>
      <c r="F36" s="2" t="n"/>
    </row>
    <row r="37">
      <c r="A37" s="10" t="inlineStr">
        <is>
          <t>Ohio</t>
        </is>
      </c>
      <c r="B37" s="10" t="inlineStr">
        <is>
          <t>OH</t>
        </is>
      </c>
      <c r="C37" s="22" t="n">
        <v>11242160</v>
      </c>
      <c r="D37" s="22" t="n">
        <v>560734</v>
      </c>
      <c r="E37" s="2" t="n"/>
      <c r="F37" s="2" t="n"/>
    </row>
    <row r="38">
      <c r="A38" s="10" t="inlineStr">
        <is>
          <t>Oklahoma</t>
        </is>
      </c>
      <c r="B38" s="10" t="inlineStr">
        <is>
          <t>OK</t>
        </is>
      </c>
      <c r="C38" s="22" t="n">
        <v>3410923</v>
      </c>
      <c r="D38" s="22" t="n">
        <v>610554</v>
      </c>
      <c r="E38" s="2" t="n"/>
      <c r="F38" s="2" t="n"/>
    </row>
    <row r="39">
      <c r="A39" s="10" t="inlineStr">
        <is>
          <t>Oregon</t>
        </is>
      </c>
      <c r="B39" s="10" t="inlineStr">
        <is>
          <t>OR</t>
        </is>
      </c>
      <c r="C39" s="22" t="n">
        <v>4230276</v>
      </c>
      <c r="D39" s="22" t="n">
        <v>160335</v>
      </c>
      <c r="E39" s="2" t="n"/>
      <c r="F39" s="2" t="n"/>
    </row>
    <row r="40">
      <c r="A40" s="10" t="inlineStr">
        <is>
          <t>Pennsylvania</t>
        </is>
      </c>
      <c r="B40" s="10" t="inlineStr">
        <is>
          <t>PA</t>
        </is>
      </c>
      <c r="C40" s="22" t="n">
        <v>10866252</v>
      </c>
      <c r="D40" s="22" t="n">
        <v>590743</v>
      </c>
      <c r="E40" s="2" t="n"/>
      <c r="F40" s="2" t="n"/>
    </row>
    <row r="41">
      <c r="A41" s="10" t="inlineStr">
        <is>
          <t>Rhode Island</t>
        </is>
      </c>
      <c r="B41" s="10" t="inlineStr">
        <is>
          <t>RI</t>
        </is>
      </c>
      <c r="C41" s="22" t="n">
        <v>822447</v>
      </c>
      <c r="D41" s="22" t="n">
        <v>57179</v>
      </c>
      <c r="E41" s="2" t="n"/>
      <c r="F41" s="2" t="n"/>
    </row>
    <row r="42">
      <c r="A42" s="10" t="inlineStr">
        <is>
          <t>South Carolina</t>
        </is>
      </c>
      <c r="B42" s="10" t="inlineStr">
        <is>
          <t>SC</t>
        </is>
      </c>
      <c r="C42" s="22" t="n">
        <v>5283221</v>
      </c>
      <c r="D42" s="22" t="n">
        <v>235312</v>
      </c>
      <c r="E42" s="2" t="n"/>
      <c r="F42" s="2" t="n"/>
    </row>
    <row r="43">
      <c r="A43" s="10" t="inlineStr">
        <is>
          <t>South Dakota</t>
        </is>
      </c>
      <c r="B43" s="10" t="inlineStr">
        <is>
          <t>SD</t>
        </is>
      </c>
      <c r="C43" s="22" t="n">
        <v>1384940</v>
      </c>
      <c r="D43" s="22" t="n">
        <v>35024</v>
      </c>
      <c r="E43" s="2" t="n"/>
      <c r="F43" s="2" t="n"/>
    </row>
    <row r="44">
      <c r="A44" s="10" t="inlineStr">
        <is>
          <t>Tennessee</t>
        </is>
      </c>
      <c r="B44" s="10" t="inlineStr">
        <is>
          <t>TN</t>
        </is>
      </c>
      <c r="C44" s="22" t="n">
        <v>6950844</v>
      </c>
      <c r="D44" s="22" t="n">
        <v>334310</v>
      </c>
      <c r="E44" s="2" t="n"/>
      <c r="F44" s="2" t="n"/>
    </row>
    <row r="45">
      <c r="A45" s="10" t="inlineStr">
        <is>
          <t>Texas</t>
        </is>
      </c>
      <c r="B45" s="10" t="inlineStr">
        <is>
          <t>TX</t>
        </is>
      </c>
      <c r="C45" s="22" t="n">
        <v>23477492</v>
      </c>
      <c r="D45" s="22" t="n">
        <v>1598583</v>
      </c>
      <c r="E45" s="2" t="n"/>
      <c r="F45" s="2" t="n"/>
    </row>
    <row r="46">
      <c r="A46" s="10" t="inlineStr">
        <is>
          <t>Utah</t>
        </is>
      </c>
      <c r="B46" s="10" t="inlineStr">
        <is>
          <t>UT</t>
        </is>
      </c>
      <c r="C46" s="22" t="n">
        <v>3084536</v>
      </c>
      <c r="D46" s="22" t="n">
        <v>148342</v>
      </c>
      <c r="E46" s="2" t="n"/>
      <c r="F46" s="2" t="n"/>
    </row>
    <row r="47">
      <c r="A47" s="10" t="inlineStr">
        <is>
          <t>Vermont</t>
        </is>
      </c>
      <c r="B47" s="10" t="inlineStr">
        <is>
          <t>VT</t>
        </is>
      </c>
      <c r="C47" s="22" t="n">
        <v>629430</v>
      </c>
      <c r="D47" s="22" t="n">
        <v>49139</v>
      </c>
      <c r="E47" s="2" t="n"/>
      <c r="F47" s="2" t="n"/>
    </row>
    <row r="48">
      <c r="A48" s="10" t="inlineStr">
        <is>
          <t>Virginia</t>
        </is>
      </c>
      <c r="B48" s="10" t="inlineStr">
        <is>
          <t>VA</t>
        </is>
      </c>
      <c r="C48" s="22" t="n">
        <v>7922073</v>
      </c>
      <c r="D48" s="22" t="n">
        <v>368236</v>
      </c>
      <c r="E48" s="2" t="n"/>
      <c r="F48" s="2" t="n"/>
    </row>
    <row r="49">
      <c r="A49" s="10" t="inlineStr">
        <is>
          <t>Washington</t>
        </is>
      </c>
      <c r="B49" s="10" t="inlineStr">
        <is>
          <t>WA</t>
        </is>
      </c>
      <c r="C49" s="22" t="n">
        <v>7444189</v>
      </c>
      <c r="D49" s="22" t="n">
        <v>287687</v>
      </c>
      <c r="E49" s="2" t="n"/>
      <c r="F49" s="2" t="n"/>
    </row>
    <row r="50">
      <c r="A50" s="10" t="inlineStr">
        <is>
          <t>West Virginia</t>
        </is>
      </c>
      <c r="B50" s="10" t="inlineStr">
        <is>
          <t>WV</t>
        </is>
      </c>
      <c r="C50" s="22" t="n">
        <v>1515512</v>
      </c>
      <c r="D50" s="22" t="n">
        <v>79737</v>
      </c>
      <c r="E50" s="2" t="n"/>
      <c r="F50" s="2" t="n"/>
    </row>
    <row r="51">
      <c r="A51" s="10" t="inlineStr">
        <is>
          <t>Wisconsin</t>
        </is>
      </c>
      <c r="B51" s="10" t="inlineStr">
        <is>
          <t>WI</t>
        </is>
      </c>
      <c r="C51" s="22" t="n">
        <v>5800567</v>
      </c>
      <c r="D51" s="22" t="n">
        <v>254094</v>
      </c>
      <c r="E51" s="2" t="n"/>
      <c r="F51" s="2" t="n"/>
    </row>
    <row r="52">
      <c r="A52" s="10" t="inlineStr">
        <is>
          <t>Wyoming</t>
        </is>
      </c>
      <c r="B52" s="10" t="inlineStr">
        <is>
          <t>WY</t>
        </is>
      </c>
      <c r="C52" s="22" t="n">
        <v>890622</v>
      </c>
      <c r="D52" s="22" t="n">
        <v>24665</v>
      </c>
      <c r="E52" s="2" t="n"/>
      <c r="F5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8" customWidth="1" min="4" max="4"/>
  </cols>
  <sheetData>
    <row r="1">
      <c r="A1" s="6" t="inlineStr">
        <is>
          <t>customer_id</t>
        </is>
      </c>
      <c r="B1" s="6" t="inlineStr">
        <is>
          <t>state</t>
        </is>
      </c>
      <c r="C1" s="6" t="inlineStr">
        <is>
          <t>date</t>
        </is>
      </c>
      <c r="D1" s="6" t="inlineStr">
        <is>
          <t>transaction_type</t>
        </is>
      </c>
    </row>
    <row r="2">
      <c r="A2" s="10" t="n">
        <v>87</v>
      </c>
      <c r="B2" s="10" t="inlineStr">
        <is>
          <t>Arizona</t>
        </is>
      </c>
      <c r="C2" s="10" t="inlineStr">
        <is>
          <t>2026-09-28</t>
        </is>
      </c>
      <c r="D2" s="10" t="inlineStr">
        <is>
          <t>Used vehicle transaction</t>
        </is>
      </c>
    </row>
    <row r="3">
      <c r="A3" s="10" t="n">
        <v>87</v>
      </c>
      <c r="B3" s="10" t="inlineStr">
        <is>
          <t>Arizona</t>
        </is>
      </c>
      <c r="C3" s="10" t="inlineStr">
        <is>
          <t>2026-09-28</t>
        </is>
      </c>
      <c r="D3" s="10" t="inlineStr">
        <is>
          <t>Used vehicle transaction</t>
        </is>
      </c>
    </row>
    <row r="4">
      <c r="A4" s="10" t="n">
        <v>87</v>
      </c>
      <c r="B4" s="10" t="inlineStr">
        <is>
          <t>Arizona</t>
        </is>
      </c>
      <c r="C4" s="10" t="inlineStr">
        <is>
          <t>2026-09-28</t>
        </is>
      </c>
      <c r="D4" s="10" t="inlineStr">
        <is>
          <t>Used vehicle transaction</t>
        </is>
      </c>
    </row>
    <row r="5">
      <c r="A5" s="10" t="n">
        <v>87</v>
      </c>
      <c r="B5" s="10" t="inlineStr">
        <is>
          <t>Arizona</t>
        </is>
      </c>
      <c r="C5" s="10" t="inlineStr">
        <is>
          <t>2026-09-28</t>
        </is>
      </c>
      <c r="D5" s="10" t="inlineStr">
        <is>
          <t>Used vehicle transaction</t>
        </is>
      </c>
    </row>
    <row r="6">
      <c r="A6" s="10" t="n">
        <v>87</v>
      </c>
      <c r="B6" s="10" t="inlineStr">
        <is>
          <t>Colorado</t>
        </is>
      </c>
      <c r="C6" s="10" t="inlineStr">
        <is>
          <t>2026-09-28</t>
        </is>
      </c>
      <c r="D6" s="10" t="inlineStr">
        <is>
          <t>New vehicle transaction</t>
        </is>
      </c>
    </row>
    <row r="7">
      <c r="A7" s="10" t="n">
        <v>87</v>
      </c>
      <c r="B7" s="10" t="inlineStr">
        <is>
          <t>New Jersey</t>
        </is>
      </c>
      <c r="C7" s="10" t="inlineStr">
        <is>
          <t>2026-09-28</t>
        </is>
      </c>
      <c r="D7" s="10" t="inlineStr">
        <is>
          <t>New vehicle transaction</t>
        </is>
      </c>
    </row>
    <row r="8">
      <c r="A8" s="10" t="n">
        <v>87</v>
      </c>
      <c r="B8" s="10" t="inlineStr">
        <is>
          <t>Alabama</t>
        </is>
      </c>
      <c r="C8" s="10" t="inlineStr">
        <is>
          <t>2026-09-28</t>
        </is>
      </c>
      <c r="D8" s="10" t="inlineStr">
        <is>
          <t>Used vehicle transaction</t>
        </is>
      </c>
    </row>
    <row r="9">
      <c r="A9" s="10" t="n">
        <v>87</v>
      </c>
      <c r="B9" s="10" t="inlineStr">
        <is>
          <t>Arizona</t>
        </is>
      </c>
      <c r="C9" s="10" t="inlineStr">
        <is>
          <t>2026-09-28</t>
        </is>
      </c>
      <c r="D9" s="10" t="inlineStr">
        <is>
          <t>New vehicle transaction</t>
        </is>
      </c>
    </row>
    <row r="10">
      <c r="A10" s="10" t="n">
        <v>87</v>
      </c>
      <c r="B10" s="10" t="inlineStr">
        <is>
          <t>Ohio</t>
        </is>
      </c>
      <c r="C10" s="10" t="inlineStr">
        <is>
          <t>2026-09-28</t>
        </is>
      </c>
      <c r="D10" s="10" t="inlineStr">
        <is>
          <t>Used vehicle transaction</t>
        </is>
      </c>
    </row>
    <row r="11">
      <c r="A11" s="10" t="n">
        <v>87</v>
      </c>
      <c r="B11" s="10" t="inlineStr">
        <is>
          <t>Colorado</t>
        </is>
      </c>
      <c r="C11" s="10" t="inlineStr">
        <is>
          <t>2026-09-28</t>
        </is>
      </c>
      <c r="D11" s="10" t="inlineStr">
        <is>
          <t>New vehicle transaction</t>
        </is>
      </c>
    </row>
    <row r="12">
      <c r="A12" s="10" t="n">
        <v>87</v>
      </c>
      <c r="B12" s="10" t="inlineStr">
        <is>
          <t>Alabama</t>
        </is>
      </c>
      <c r="C12" s="10" t="inlineStr">
        <is>
          <t>2026-09-28</t>
        </is>
      </c>
      <c r="D12" s="10" t="inlineStr">
        <is>
          <t>Used vehicle transaction</t>
        </is>
      </c>
    </row>
    <row r="13">
      <c r="A13" s="10" t="n">
        <v>87</v>
      </c>
      <c r="B13" s="10" t="inlineStr">
        <is>
          <t>Alabama</t>
        </is>
      </c>
      <c r="C13" s="10" t="inlineStr">
        <is>
          <t>2026-09-28</t>
        </is>
      </c>
      <c r="D13" s="10" t="inlineStr">
        <is>
          <t>Used vehicle transaction</t>
        </is>
      </c>
    </row>
    <row r="14">
      <c r="A14" s="10" t="n">
        <v>87</v>
      </c>
      <c r="B14" s="10" t="inlineStr">
        <is>
          <t>Arizona</t>
        </is>
      </c>
      <c r="C14" s="10" t="inlineStr">
        <is>
          <t>2026-09-28</t>
        </is>
      </c>
      <c r="D14" s="10" t="inlineStr">
        <is>
          <t>Used vehicle transaction</t>
        </is>
      </c>
    </row>
    <row r="15">
      <c r="A15" s="10" t="n">
        <v>87</v>
      </c>
      <c r="B15" s="10" t="inlineStr">
        <is>
          <t>Colorado</t>
        </is>
      </c>
      <c r="C15" s="10" t="inlineStr">
        <is>
          <t>2026-09-28</t>
        </is>
      </c>
      <c r="D15" s="10" t="inlineStr">
        <is>
          <t>New vehicle transaction</t>
        </is>
      </c>
    </row>
    <row r="16">
      <c r="A16" s="10" t="n">
        <v>87</v>
      </c>
      <c r="B16" s="10" t="inlineStr">
        <is>
          <t>Alabama</t>
        </is>
      </c>
      <c r="C16" s="10" t="inlineStr">
        <is>
          <t>2026-09-28</t>
        </is>
      </c>
      <c r="D16" s="10" t="inlineStr">
        <is>
          <t>Used vehicle transaction</t>
        </is>
      </c>
    </row>
    <row r="17">
      <c r="A17" s="10" t="n">
        <v>87</v>
      </c>
      <c r="B17" s="10" t="inlineStr">
        <is>
          <t>Alabama</t>
        </is>
      </c>
      <c r="C17" s="10" t="inlineStr">
        <is>
          <t>2026-09-28</t>
        </is>
      </c>
      <c r="D17" s="10" t="inlineStr">
        <is>
          <t>Used vehicle transaction</t>
        </is>
      </c>
    </row>
    <row r="18">
      <c r="A18" s="10" t="n">
        <v>87</v>
      </c>
      <c r="B18" s="10" t="inlineStr">
        <is>
          <t>Colorado</t>
        </is>
      </c>
      <c r="C18" s="10" t="inlineStr">
        <is>
          <t>2026-09-28</t>
        </is>
      </c>
      <c r="D18" s="10" t="inlineStr">
        <is>
          <t>New vehicle transaction</t>
        </is>
      </c>
    </row>
    <row r="19">
      <c r="A19" s="10" t="n">
        <v>87</v>
      </c>
      <c r="B19" s="10" t="inlineStr">
        <is>
          <t>Arizona</t>
        </is>
      </c>
      <c r="C19" s="10" t="inlineStr">
        <is>
          <t>2026-09-28</t>
        </is>
      </c>
      <c r="D19" s="10" t="inlineStr">
        <is>
          <t>Used vehicle transaction</t>
        </is>
      </c>
    </row>
    <row r="20">
      <c r="A20" s="10" t="n">
        <v>87</v>
      </c>
      <c r="B20" s="10" t="inlineStr">
        <is>
          <t>Alabama</t>
        </is>
      </c>
      <c r="C20" s="10" t="inlineStr">
        <is>
          <t>2026-09-28</t>
        </is>
      </c>
      <c r="D20" s="10" t="inlineStr">
        <is>
          <t>Used vehicle transaction</t>
        </is>
      </c>
    </row>
    <row r="21">
      <c r="A21" s="10" t="n">
        <v>87</v>
      </c>
      <c r="B21" s="10" t="inlineStr">
        <is>
          <t>Iowa</t>
        </is>
      </c>
      <c r="C21" s="10" t="inlineStr">
        <is>
          <t>2026-09-28</t>
        </is>
      </c>
      <c r="D21" s="10" t="inlineStr">
        <is>
          <t>New vehicle transaction</t>
        </is>
      </c>
    </row>
    <row r="22">
      <c r="A22" s="10" t="n">
        <v>87</v>
      </c>
      <c r="B22" s="10" t="inlineStr">
        <is>
          <t>Texas</t>
        </is>
      </c>
      <c r="C22" s="10" t="inlineStr">
        <is>
          <t>2026-09-28</t>
        </is>
      </c>
      <c r="D22" s="10" t="inlineStr">
        <is>
          <t>New vehicle transaction</t>
        </is>
      </c>
    </row>
    <row r="23">
      <c r="A23" s="10" t="n">
        <v>87</v>
      </c>
      <c r="B23" s="10" t="inlineStr">
        <is>
          <t>Alabama</t>
        </is>
      </c>
      <c r="C23" s="10" t="inlineStr">
        <is>
          <t>2026-09-28</t>
        </is>
      </c>
      <c r="D23" s="10" t="inlineStr">
        <is>
          <t>Used vehicle transaction</t>
        </is>
      </c>
    </row>
    <row r="24">
      <c r="A24" s="10" t="n">
        <v>121</v>
      </c>
      <c r="B24" s="10" t="inlineStr">
        <is>
          <t>Florida</t>
        </is>
      </c>
      <c r="C24" s="10" t="inlineStr">
        <is>
          <t>2026-09-28</t>
        </is>
      </c>
      <c r="D24" s="10" t="inlineStr">
        <is>
          <t>New vehicle transaction</t>
        </is>
      </c>
    </row>
    <row r="25">
      <c r="A25" s="10" t="n">
        <v>121</v>
      </c>
      <c r="B25" s="10" t="inlineStr">
        <is>
          <t>Florida</t>
        </is>
      </c>
      <c r="C25" s="10" t="inlineStr">
        <is>
          <t>2026-09-28</t>
        </is>
      </c>
      <c r="D25" s="10" t="inlineStr">
        <is>
          <t>New vehicle transaction</t>
        </is>
      </c>
    </row>
    <row r="26">
      <c r="A26" s="10" t="n">
        <v>121</v>
      </c>
      <c r="B26" s="10" t="inlineStr">
        <is>
          <t>Florida</t>
        </is>
      </c>
      <c r="C26" s="10" t="inlineStr">
        <is>
          <t>2026-09-28</t>
        </is>
      </c>
      <c r="D26" s="10" t="inlineStr">
        <is>
          <t>New vehicle transaction</t>
        </is>
      </c>
    </row>
    <row r="27">
      <c r="A27" s="10" t="n">
        <v>121</v>
      </c>
      <c r="B27" s="10" t="inlineStr">
        <is>
          <t>Florida</t>
        </is>
      </c>
      <c r="C27" s="10" t="inlineStr">
        <is>
          <t>2026-09-28</t>
        </is>
      </c>
      <c r="D27" s="10" t="inlineStr">
        <is>
          <t>New vehicle transaction</t>
        </is>
      </c>
    </row>
    <row r="28">
      <c r="A28" s="10" t="n">
        <v>121</v>
      </c>
      <c r="B28" s="10" t="inlineStr">
        <is>
          <t>Florida</t>
        </is>
      </c>
      <c r="C28" s="10" t="inlineStr">
        <is>
          <t>2026-09-28</t>
        </is>
      </c>
      <c r="D28" s="10" t="inlineStr">
        <is>
          <t>New vehicle transaction</t>
        </is>
      </c>
    </row>
    <row r="29">
      <c r="A29" s="10" t="n">
        <v>121</v>
      </c>
      <c r="B29" s="10" t="inlineStr">
        <is>
          <t>Florida</t>
        </is>
      </c>
      <c r="C29" s="10" t="inlineStr">
        <is>
          <t>2026-09-28</t>
        </is>
      </c>
      <c r="D29" s="10" t="inlineStr">
        <is>
          <t>New vehicle transaction</t>
        </is>
      </c>
    </row>
    <row r="30">
      <c r="A30" s="10" t="n">
        <v>121</v>
      </c>
      <c r="B30" s="10" t="inlineStr">
        <is>
          <t>Florida</t>
        </is>
      </c>
      <c r="C30" s="10" t="inlineStr">
        <is>
          <t>2026-09-28</t>
        </is>
      </c>
      <c r="D30" s="10" t="inlineStr">
        <is>
          <t>New vehicle transaction</t>
        </is>
      </c>
    </row>
    <row r="31">
      <c r="A31" s="10" t="n">
        <v>121</v>
      </c>
      <c r="B31" s="10" t="inlineStr">
        <is>
          <t>Florida</t>
        </is>
      </c>
      <c r="C31" s="10" t="inlineStr">
        <is>
          <t>2026-09-28</t>
        </is>
      </c>
      <c r="D31" s="10" t="inlineStr">
        <is>
          <t>New vehicle transaction</t>
        </is>
      </c>
    </row>
    <row r="32">
      <c r="A32" s="10" t="n">
        <v>121</v>
      </c>
      <c r="B32" s="10" t="inlineStr">
        <is>
          <t>Florida</t>
        </is>
      </c>
      <c r="C32" s="10" t="inlineStr">
        <is>
          <t>2026-09-28</t>
        </is>
      </c>
      <c r="D32" s="10" t="inlineStr">
        <is>
          <t>New vehicle transaction</t>
        </is>
      </c>
    </row>
    <row r="33">
      <c r="A33" s="10" t="n">
        <v>121</v>
      </c>
      <c r="B33" s="10" t="inlineStr">
        <is>
          <t>Florida</t>
        </is>
      </c>
      <c r="C33" s="10" t="inlineStr">
        <is>
          <t>2026-09-28</t>
        </is>
      </c>
      <c r="D33" s="10" t="inlineStr">
        <is>
          <t>New vehicle transaction</t>
        </is>
      </c>
    </row>
    <row r="34">
      <c r="A34" s="10" t="n">
        <v>87</v>
      </c>
      <c r="B34" s="10" t="inlineStr">
        <is>
          <t>Colorado</t>
        </is>
      </c>
      <c r="C34" s="10" t="inlineStr">
        <is>
          <t>2026-09-28</t>
        </is>
      </c>
      <c r="D34" s="10" t="inlineStr">
        <is>
          <t>New vehicle transaction</t>
        </is>
      </c>
    </row>
    <row r="35">
      <c r="A35" s="10" t="n">
        <v>87</v>
      </c>
      <c r="B35" s="10" t="inlineStr">
        <is>
          <t>Colorado</t>
        </is>
      </c>
      <c r="C35" s="10" t="inlineStr">
        <is>
          <t>2026-09-28</t>
        </is>
      </c>
      <c r="D35" s="10" t="inlineStr">
        <is>
          <t>New vehicle transaction</t>
        </is>
      </c>
    </row>
    <row r="36">
      <c r="A36" s="10" t="n">
        <v>87</v>
      </c>
      <c r="B36" s="10" t="inlineStr">
        <is>
          <t>Pennsylvania</t>
        </is>
      </c>
      <c r="C36" s="10" t="inlineStr">
        <is>
          <t>2026-09-28</t>
        </is>
      </c>
      <c r="D36" s="10" t="inlineStr">
        <is>
          <t>New vehicle transaction</t>
        </is>
      </c>
    </row>
    <row r="37">
      <c r="A37" s="10" t="n">
        <v>110</v>
      </c>
      <c r="B37" s="10" t="inlineStr">
        <is>
          <t>Texas</t>
        </is>
      </c>
      <c r="C37" s="10" t="inlineStr">
        <is>
          <t>2026-09-28</t>
        </is>
      </c>
      <c r="D37" s="10" t="inlineStr">
        <is>
          <t>New vehicle transaction</t>
        </is>
      </c>
    </row>
    <row r="38">
      <c r="A38" s="10" t="n">
        <v>110</v>
      </c>
      <c r="B38" s="10" t="inlineStr">
        <is>
          <t>Texas</t>
        </is>
      </c>
      <c r="C38" s="10" t="inlineStr">
        <is>
          <t>2026-09-28</t>
        </is>
      </c>
      <c r="D38" s="10" t="inlineStr">
        <is>
          <t>New vehicle transaction</t>
        </is>
      </c>
    </row>
    <row r="39">
      <c r="A39" s="10" t="n">
        <v>110</v>
      </c>
      <c r="B39" s="10" t="inlineStr">
        <is>
          <t>Texas</t>
        </is>
      </c>
      <c r="C39" s="10" t="inlineStr">
        <is>
          <t>2026-09-28</t>
        </is>
      </c>
      <c r="D39" s="10" t="inlineStr">
        <is>
          <t>New vehicle transaction</t>
        </is>
      </c>
    </row>
    <row r="40">
      <c r="A40" s="10" t="n">
        <v>87</v>
      </c>
      <c r="B40" s="10" t="inlineStr">
        <is>
          <t>New York</t>
        </is>
      </c>
      <c r="C40" s="10" t="inlineStr">
        <is>
          <t>2026-09-28</t>
        </is>
      </c>
      <c r="D40" s="10" t="inlineStr">
        <is>
          <t>New vehicle transaction</t>
        </is>
      </c>
    </row>
    <row r="41">
      <c r="A41" s="10" t="n">
        <v>87</v>
      </c>
      <c r="B41" s="10" t="inlineStr">
        <is>
          <t>New Mexico</t>
        </is>
      </c>
      <c r="C41" s="10" t="inlineStr">
        <is>
          <t>2026-09-28</t>
        </is>
      </c>
      <c r="D41" s="10" t="inlineStr">
        <is>
          <t>New vehicle transaction</t>
        </is>
      </c>
    </row>
    <row r="42">
      <c r="A42" s="10" t="n">
        <v>110</v>
      </c>
      <c r="B42" s="10" t="inlineStr">
        <is>
          <t>Texas</t>
        </is>
      </c>
      <c r="C42" s="10" t="inlineStr">
        <is>
          <t>2026-09-28</t>
        </is>
      </c>
      <c r="D42" s="10" t="inlineStr">
        <is>
          <t>New vehicle transaction</t>
        </is>
      </c>
    </row>
    <row r="43">
      <c r="A43" s="10" t="n">
        <v>87</v>
      </c>
      <c r="B43" s="10" t="inlineStr">
        <is>
          <t>Arkansas</t>
        </is>
      </c>
      <c r="C43" s="10" t="inlineStr">
        <is>
          <t>2026-09-28</t>
        </is>
      </c>
      <c r="D43" s="10" t="inlineStr">
        <is>
          <t>New vehicle transaction</t>
        </is>
      </c>
    </row>
    <row r="44">
      <c r="A44" s="10" t="n">
        <v>87</v>
      </c>
      <c r="B44" s="10" t="inlineStr">
        <is>
          <t>Colorado</t>
        </is>
      </c>
      <c r="C44" s="10" t="inlineStr">
        <is>
          <t>2026-09-28</t>
        </is>
      </c>
      <c r="D44" s="10" t="inlineStr">
        <is>
          <t>New vehicle transaction</t>
        </is>
      </c>
    </row>
    <row r="45">
      <c r="A45" s="10" t="n">
        <v>87</v>
      </c>
      <c r="B45" s="10" t="inlineStr">
        <is>
          <t>South Carolina</t>
        </is>
      </c>
      <c r="C45" s="10" t="inlineStr">
        <is>
          <t>2026-09-28</t>
        </is>
      </c>
      <c r="D45" s="10" t="inlineStr">
        <is>
          <t>Used vehicle transaction</t>
        </is>
      </c>
    </row>
    <row r="46">
      <c r="A46" s="10" t="n">
        <v>87</v>
      </c>
      <c r="B46" s="10" t="inlineStr">
        <is>
          <t>Nevada</t>
        </is>
      </c>
      <c r="C46" s="10" t="inlineStr">
        <is>
          <t>2026-09-28</t>
        </is>
      </c>
      <c r="D46" s="10" t="inlineStr">
        <is>
          <t>New vehicle transaction</t>
        </is>
      </c>
    </row>
    <row r="47">
      <c r="A47" s="10" t="n">
        <v>87</v>
      </c>
      <c r="B47" s="10" t="inlineStr">
        <is>
          <t>Arkansas</t>
        </is>
      </c>
      <c r="C47" s="10" t="inlineStr">
        <is>
          <t>2026-09-28</t>
        </is>
      </c>
      <c r="D47" s="10" t="inlineStr">
        <is>
          <t>New vehicle transaction</t>
        </is>
      </c>
    </row>
    <row r="48">
      <c r="A48" s="10" t="n">
        <v>87</v>
      </c>
      <c r="B48" s="10" t="inlineStr">
        <is>
          <t>California</t>
        </is>
      </c>
      <c r="C48" s="10" t="inlineStr">
        <is>
          <t>2026-09-28</t>
        </is>
      </c>
      <c r="D48" s="10" t="inlineStr">
        <is>
          <t>Used vehicle transaction</t>
        </is>
      </c>
    </row>
    <row r="49">
      <c r="A49" s="10" t="n">
        <v>87</v>
      </c>
      <c r="B49" s="10" t="inlineStr">
        <is>
          <t>Florida</t>
        </is>
      </c>
      <c r="C49" s="10" t="inlineStr">
        <is>
          <t>2026-09-28</t>
        </is>
      </c>
      <c r="D49" s="10" t="inlineStr">
        <is>
          <t>Used vehicle transaction</t>
        </is>
      </c>
    </row>
    <row r="50">
      <c r="A50" s="10" t="n">
        <v>87</v>
      </c>
      <c r="B50" s="10" t="inlineStr">
        <is>
          <t>Florida</t>
        </is>
      </c>
      <c r="C50" s="10" t="inlineStr">
        <is>
          <t>2026-09-28</t>
        </is>
      </c>
      <c r="D50" s="10" t="inlineStr">
        <is>
          <t>New vehicle transaction</t>
        </is>
      </c>
    </row>
    <row r="51">
      <c r="A51" s="10" t="n">
        <v>87</v>
      </c>
      <c r="B51" s="10" t="inlineStr">
        <is>
          <t>Kentucky</t>
        </is>
      </c>
      <c r="C51" s="10" t="inlineStr">
        <is>
          <t>2026-09-28</t>
        </is>
      </c>
      <c r="D51" s="10" t="inlineStr">
        <is>
          <t>Used vehicle transaction</t>
        </is>
      </c>
    </row>
    <row r="52">
      <c r="A52" s="10" t="n">
        <v>87</v>
      </c>
      <c r="B52" s="10" t="inlineStr">
        <is>
          <t>New Jersey</t>
        </is>
      </c>
      <c r="C52" s="10" t="inlineStr">
        <is>
          <t>2026-09-27</t>
        </is>
      </c>
      <c r="D52" s="10" t="inlineStr">
        <is>
          <t>New vehicle transaction</t>
        </is>
      </c>
    </row>
    <row r="53">
      <c r="A53" s="10" t="n">
        <v>87</v>
      </c>
      <c r="B53" s="10" t="inlineStr">
        <is>
          <t>Alabama</t>
        </is>
      </c>
      <c r="C53" s="10" t="inlineStr">
        <is>
          <t>2026-09-26</t>
        </is>
      </c>
      <c r="D53" s="10" t="inlineStr">
        <is>
          <t>New vehicle transaction</t>
        </is>
      </c>
    </row>
    <row r="54">
      <c r="A54" s="10" t="n">
        <v>87</v>
      </c>
      <c r="B54" s="10" t="inlineStr">
        <is>
          <t>Oklahoma</t>
        </is>
      </c>
      <c r="C54" s="10" t="inlineStr">
        <is>
          <t>2026-09-26</t>
        </is>
      </c>
      <c r="D54" s="10" t="inlineStr">
        <is>
          <t>New vehicle transaction</t>
        </is>
      </c>
    </row>
    <row r="55">
      <c r="A55" s="10" t="n">
        <v>87</v>
      </c>
      <c r="B55" s="10" t="inlineStr">
        <is>
          <t>California</t>
        </is>
      </c>
      <c r="C55" s="10" t="inlineStr">
        <is>
          <t>2026-09-26</t>
        </is>
      </c>
      <c r="D55" s="10" t="inlineStr">
        <is>
          <t>New vehicle transaction</t>
        </is>
      </c>
    </row>
    <row r="56">
      <c r="A56" s="10" t="n">
        <v>87</v>
      </c>
      <c r="B56" s="10" t="inlineStr">
        <is>
          <t>Georgia</t>
        </is>
      </c>
      <c r="C56" s="10" t="inlineStr">
        <is>
          <t>2026-09-26</t>
        </is>
      </c>
      <c r="D56" s="10" t="inlineStr">
        <is>
          <t>New vehicle transaction</t>
        </is>
      </c>
    </row>
    <row r="57">
      <c r="A57" s="10" t="n">
        <v>87</v>
      </c>
      <c r="B57" s="10" t="inlineStr">
        <is>
          <t>Georgia</t>
        </is>
      </c>
      <c r="C57" s="10" t="inlineStr">
        <is>
          <t>2026-09-26</t>
        </is>
      </c>
      <c r="D57" s="10" t="inlineStr">
        <is>
          <t>New vehicle transaction</t>
        </is>
      </c>
    </row>
    <row r="58">
      <c r="A58" s="10" t="n">
        <v>87</v>
      </c>
      <c r="B58" s="10" t="inlineStr">
        <is>
          <t>Pennsylvania</t>
        </is>
      </c>
      <c r="C58" s="10" t="inlineStr">
        <is>
          <t>2026-09-26</t>
        </is>
      </c>
      <c r="D58" s="10" t="inlineStr">
        <is>
          <t>New vehicle transaction</t>
        </is>
      </c>
    </row>
    <row r="59">
      <c r="A59" s="10" t="n">
        <v>87</v>
      </c>
      <c r="B59" s="10" t="inlineStr">
        <is>
          <t>Indiana</t>
        </is>
      </c>
      <c r="C59" s="10" t="inlineStr">
        <is>
          <t>2026-09-26</t>
        </is>
      </c>
      <c r="D59" s="10" t="inlineStr">
        <is>
          <t>New vehicle transaction</t>
        </is>
      </c>
    </row>
    <row r="60">
      <c r="A60" s="10" t="n">
        <v>87</v>
      </c>
      <c r="B60" s="10" t="inlineStr">
        <is>
          <t>Tennessee</t>
        </is>
      </c>
      <c r="C60" s="10" t="inlineStr">
        <is>
          <t>2026-09-26</t>
        </is>
      </c>
      <c r="D60" s="10" t="inlineStr">
        <is>
          <t>Used vehicle transaction</t>
        </is>
      </c>
    </row>
    <row r="61">
      <c r="A61" s="10" t="n">
        <v>87</v>
      </c>
      <c r="B61" s="10" t="inlineStr">
        <is>
          <t>New York</t>
        </is>
      </c>
      <c r="C61" s="10" t="inlineStr">
        <is>
          <t>2026-09-26</t>
        </is>
      </c>
      <c r="D61" s="10" t="inlineStr">
        <is>
          <t>Used vehicle transaction</t>
        </is>
      </c>
    </row>
    <row r="62">
      <c r="A62" s="10" t="n">
        <v>87</v>
      </c>
      <c r="B62" s="10" t="inlineStr">
        <is>
          <t>South Carolina</t>
        </is>
      </c>
      <c r="C62" s="10" t="inlineStr">
        <is>
          <t>2026-09-25</t>
        </is>
      </c>
      <c r="D62" s="10" t="inlineStr">
        <is>
          <t>Used vehicle transaction</t>
        </is>
      </c>
    </row>
    <row r="63">
      <c r="A63" s="10" t="n">
        <v>87</v>
      </c>
      <c r="B63" s="10" t="inlineStr">
        <is>
          <t>Illinois</t>
        </is>
      </c>
      <c r="C63" s="10" t="inlineStr">
        <is>
          <t>2026-09-25</t>
        </is>
      </c>
      <c r="D63" s="10" t="inlineStr">
        <is>
          <t>Used vehicle transaction</t>
        </is>
      </c>
    </row>
    <row r="64">
      <c r="A64" s="10" t="n">
        <v>87</v>
      </c>
      <c r="B64" s="10" t="inlineStr">
        <is>
          <t>Illinois</t>
        </is>
      </c>
      <c r="C64" s="10" t="inlineStr">
        <is>
          <t>2026-09-25</t>
        </is>
      </c>
      <c r="D64" s="10" t="inlineStr">
        <is>
          <t>Used vehicle transaction</t>
        </is>
      </c>
    </row>
    <row r="65">
      <c r="A65" s="10" t="n">
        <v>87</v>
      </c>
      <c r="B65" s="10" t="inlineStr">
        <is>
          <t>Texas</t>
        </is>
      </c>
      <c r="C65" s="10" t="inlineStr">
        <is>
          <t>2026-09-25</t>
        </is>
      </c>
      <c r="D65" s="10" t="inlineStr">
        <is>
          <t>Used vehicle transaction</t>
        </is>
      </c>
    </row>
    <row r="66">
      <c r="A66" s="10" t="n">
        <v>87</v>
      </c>
      <c r="B66" s="10" t="inlineStr">
        <is>
          <t>New Jersey</t>
        </is>
      </c>
      <c r="C66" s="10" t="inlineStr">
        <is>
          <t>2026-09-25</t>
        </is>
      </c>
      <c r="D66" s="10" t="inlineStr">
        <is>
          <t>New vehicle transaction</t>
        </is>
      </c>
    </row>
    <row r="67">
      <c r="A67" s="10" t="n">
        <v>87</v>
      </c>
      <c r="B67" s="10" t="inlineStr">
        <is>
          <t>New York</t>
        </is>
      </c>
      <c r="C67" s="10" t="inlineStr">
        <is>
          <t>2026-09-25</t>
        </is>
      </c>
      <c r="D67" s="10" t="inlineStr">
        <is>
          <t>Used vehicle transaction</t>
        </is>
      </c>
    </row>
    <row r="68">
      <c r="A68" s="10" t="n">
        <v>87</v>
      </c>
      <c r="B68" s="10" t="inlineStr">
        <is>
          <t>Maryland</t>
        </is>
      </c>
      <c r="C68" s="10" t="inlineStr">
        <is>
          <t>2026-09-25</t>
        </is>
      </c>
      <c r="D68" s="10" t="inlineStr">
        <is>
          <t>Used vehicle transaction</t>
        </is>
      </c>
    </row>
    <row r="69">
      <c r="A69" s="10" t="n">
        <v>87</v>
      </c>
      <c r="B69" s="10" t="inlineStr">
        <is>
          <t>Texas</t>
        </is>
      </c>
      <c r="C69" s="10" t="inlineStr">
        <is>
          <t>2026-09-25</t>
        </is>
      </c>
      <c r="D69" s="10" t="inlineStr">
        <is>
          <t>Used vehicle transaction</t>
        </is>
      </c>
    </row>
    <row r="70">
      <c r="A70" s="10" t="n">
        <v>87</v>
      </c>
      <c r="B70" s="10" t="inlineStr">
        <is>
          <t>Mississippi</t>
        </is>
      </c>
      <c r="C70" s="10" t="inlineStr">
        <is>
          <t>2026-09-25</t>
        </is>
      </c>
      <c r="D70" s="10" t="inlineStr">
        <is>
          <t>Used vehicle transaction</t>
        </is>
      </c>
    </row>
    <row r="71">
      <c r="A71" s="10" t="n">
        <v>87</v>
      </c>
      <c r="B71" s="10" t="inlineStr">
        <is>
          <t>Tennessee</t>
        </is>
      </c>
      <c r="C71" s="10" t="inlineStr">
        <is>
          <t>2026-09-25</t>
        </is>
      </c>
      <c r="D71" s="10" t="inlineStr">
        <is>
          <t>New vehicle transaction</t>
        </is>
      </c>
    </row>
    <row r="72">
      <c r="A72" s="10" t="n">
        <v>87</v>
      </c>
      <c r="B72" s="10" t="inlineStr">
        <is>
          <t>New Hampshire</t>
        </is>
      </c>
      <c r="C72" s="10" t="inlineStr">
        <is>
          <t>2026-09-25</t>
        </is>
      </c>
      <c r="D72" s="10" t="inlineStr">
        <is>
          <t>Used vehicle transaction</t>
        </is>
      </c>
    </row>
    <row r="73">
      <c r="A73" s="10" t="n">
        <v>87</v>
      </c>
      <c r="B73" s="10" t="inlineStr">
        <is>
          <t>Texas</t>
        </is>
      </c>
      <c r="C73" s="10" t="inlineStr">
        <is>
          <t>2026-09-25</t>
        </is>
      </c>
      <c r="D73" s="10" t="inlineStr">
        <is>
          <t>Used vehicle transaction</t>
        </is>
      </c>
    </row>
    <row r="74">
      <c r="A74" s="10" t="n">
        <v>87</v>
      </c>
      <c r="B74" s="10" t="inlineStr">
        <is>
          <t>Nevada</t>
        </is>
      </c>
      <c r="C74" s="10" t="inlineStr">
        <is>
          <t>2026-09-25</t>
        </is>
      </c>
      <c r="D74" s="10" t="inlineStr">
        <is>
          <t>Used vehicle transaction</t>
        </is>
      </c>
    </row>
    <row r="75">
      <c r="A75" s="10" t="n">
        <v>87</v>
      </c>
      <c r="B75" s="10" t="inlineStr">
        <is>
          <t>Nevada</t>
        </is>
      </c>
      <c r="C75" s="10" t="inlineStr">
        <is>
          <t>2026-09-25</t>
        </is>
      </c>
      <c r="D75" s="10" t="inlineStr">
        <is>
          <t>Used vehicle transaction</t>
        </is>
      </c>
    </row>
    <row r="76">
      <c r="A76" s="10" t="n">
        <v>87</v>
      </c>
      <c r="B76" s="10" t="inlineStr">
        <is>
          <t>Pennsylvania</t>
        </is>
      </c>
      <c r="C76" s="10" t="inlineStr">
        <is>
          <t>2026-09-25</t>
        </is>
      </c>
      <c r="D76" s="10" t="inlineStr">
        <is>
          <t>Used vehicle transaction</t>
        </is>
      </c>
    </row>
    <row r="77">
      <c r="A77" s="10" t="n">
        <v>87</v>
      </c>
      <c r="B77" s="10" t="inlineStr">
        <is>
          <t>Nevada</t>
        </is>
      </c>
      <c r="C77" s="10" t="inlineStr">
        <is>
          <t>2026-09-25</t>
        </is>
      </c>
      <c r="D77" s="10" t="inlineStr">
        <is>
          <t>New vehicle transaction</t>
        </is>
      </c>
    </row>
    <row r="78">
      <c r="A78" s="10" t="n">
        <v>87</v>
      </c>
      <c r="B78" s="10" t="inlineStr">
        <is>
          <t>Alabama</t>
        </is>
      </c>
      <c r="C78" s="10" t="inlineStr">
        <is>
          <t>2026-09-25</t>
        </is>
      </c>
      <c r="D78" s="10" t="inlineStr">
        <is>
          <t>Used vehicle transaction</t>
        </is>
      </c>
    </row>
    <row r="79">
      <c r="A79" s="10" t="n">
        <v>87</v>
      </c>
      <c r="B79" s="10" t="inlineStr">
        <is>
          <t>Pennsylvania</t>
        </is>
      </c>
      <c r="C79" s="10" t="inlineStr">
        <is>
          <t>2026-09-25</t>
        </is>
      </c>
      <c r="D79" s="10" t="inlineStr">
        <is>
          <t>Used vehicle transaction</t>
        </is>
      </c>
    </row>
    <row r="80">
      <c r="A80" s="10" t="n">
        <v>87</v>
      </c>
      <c r="B80" s="10" t="inlineStr">
        <is>
          <t>Pennsylvania</t>
        </is>
      </c>
      <c r="C80" s="10" t="inlineStr">
        <is>
          <t>2026-09-25</t>
        </is>
      </c>
      <c r="D80" s="10" t="inlineStr">
        <is>
          <t>Used vehicle transaction</t>
        </is>
      </c>
    </row>
    <row r="81">
      <c r="A81" s="10" t="n">
        <v>87</v>
      </c>
      <c r="B81" s="10" t="inlineStr">
        <is>
          <t>Indiana</t>
        </is>
      </c>
      <c r="C81" s="10" t="inlineStr">
        <is>
          <t>2026-09-25</t>
        </is>
      </c>
      <c r="D81" s="10" t="inlineStr">
        <is>
          <t>Used vehicle transaction</t>
        </is>
      </c>
    </row>
    <row r="82">
      <c r="A82" s="10" t="n">
        <v>87</v>
      </c>
      <c r="B82" s="10" t="inlineStr">
        <is>
          <t>Colorado</t>
        </is>
      </c>
      <c r="C82" s="10" t="inlineStr">
        <is>
          <t>2026-09-25</t>
        </is>
      </c>
      <c r="D82" s="10" t="inlineStr">
        <is>
          <t>New vehicle transaction</t>
        </is>
      </c>
    </row>
    <row r="83">
      <c r="A83" s="10" t="n">
        <v>87</v>
      </c>
      <c r="B83" s="10" t="inlineStr">
        <is>
          <t>Indiana</t>
        </is>
      </c>
      <c r="C83" s="10" t="inlineStr">
        <is>
          <t>2026-09-25</t>
        </is>
      </c>
      <c r="D83" s="10" t="inlineStr">
        <is>
          <t>Used vehicle transaction</t>
        </is>
      </c>
    </row>
    <row r="84">
      <c r="A84" s="10" t="n">
        <v>87</v>
      </c>
      <c r="B84" s="10" t="inlineStr">
        <is>
          <t>Georgia</t>
        </is>
      </c>
      <c r="C84" s="10" t="inlineStr">
        <is>
          <t>2026-09-25</t>
        </is>
      </c>
      <c r="D84" s="10" t="inlineStr">
        <is>
          <t>New vehicle transaction</t>
        </is>
      </c>
    </row>
    <row r="85">
      <c r="A85" s="10" t="n">
        <v>87</v>
      </c>
      <c r="B85" s="10" t="inlineStr">
        <is>
          <t>West Virginia</t>
        </is>
      </c>
      <c r="C85" s="10" t="inlineStr">
        <is>
          <t>2026-09-25</t>
        </is>
      </c>
      <c r="D85" s="10" t="inlineStr">
        <is>
          <t>Used vehicle transaction</t>
        </is>
      </c>
    </row>
    <row r="86">
      <c r="A86" s="10" t="n">
        <v>87</v>
      </c>
      <c r="B86" s="10" t="inlineStr">
        <is>
          <t>Texas</t>
        </is>
      </c>
      <c r="C86" s="10" t="inlineStr">
        <is>
          <t>2026-09-25</t>
        </is>
      </c>
      <c r="D86" s="10" t="inlineStr">
        <is>
          <t>New vehicle transaction</t>
        </is>
      </c>
    </row>
    <row r="87">
      <c r="A87" s="10" t="n">
        <v>87</v>
      </c>
      <c r="B87" s="10" t="inlineStr">
        <is>
          <t>Texas</t>
        </is>
      </c>
      <c r="C87" s="10" t="inlineStr">
        <is>
          <t>2026-09-25</t>
        </is>
      </c>
      <c r="D87" s="10" t="inlineStr">
        <is>
          <t>New vehicle transaction</t>
        </is>
      </c>
    </row>
    <row r="88">
      <c r="A88" s="10" t="n">
        <v>87</v>
      </c>
      <c r="B88" s="10" t="inlineStr">
        <is>
          <t>Texas</t>
        </is>
      </c>
      <c r="C88" s="10" t="inlineStr">
        <is>
          <t>2026-09-25</t>
        </is>
      </c>
      <c r="D88" s="10" t="inlineStr">
        <is>
          <t>New vehicle transaction</t>
        </is>
      </c>
    </row>
    <row r="89">
      <c r="A89" s="10" t="n">
        <v>87</v>
      </c>
      <c r="B89" s="10" t="inlineStr">
        <is>
          <t>Texas</t>
        </is>
      </c>
      <c r="C89" s="10" t="inlineStr">
        <is>
          <t>2026-09-25</t>
        </is>
      </c>
      <c r="D89" s="10" t="inlineStr">
        <is>
          <t>New vehicle transaction</t>
        </is>
      </c>
    </row>
    <row r="90">
      <c r="A90" s="10" t="n">
        <v>87</v>
      </c>
      <c r="B90" s="10" t="inlineStr">
        <is>
          <t>Texas</t>
        </is>
      </c>
      <c r="C90" s="10" t="inlineStr">
        <is>
          <t>2026-09-25</t>
        </is>
      </c>
      <c r="D90" s="10" t="inlineStr">
        <is>
          <t>New vehicle transaction</t>
        </is>
      </c>
    </row>
    <row r="91">
      <c r="A91" s="10" t="n">
        <v>87</v>
      </c>
      <c r="B91" s="10" t="inlineStr">
        <is>
          <t>Texas</t>
        </is>
      </c>
      <c r="C91" s="10" t="inlineStr">
        <is>
          <t>2026-09-25</t>
        </is>
      </c>
      <c r="D91" s="10" t="inlineStr">
        <is>
          <t>New vehicle transaction</t>
        </is>
      </c>
    </row>
    <row r="92">
      <c r="A92" s="10" t="n">
        <v>87</v>
      </c>
      <c r="B92" s="10" t="inlineStr">
        <is>
          <t>Georgia</t>
        </is>
      </c>
      <c r="C92" s="10" t="inlineStr">
        <is>
          <t>2026-09-25</t>
        </is>
      </c>
      <c r="D92" s="10" t="inlineStr">
        <is>
          <t>New vehicle transaction</t>
        </is>
      </c>
    </row>
    <row r="93">
      <c r="A93" s="10" t="n">
        <v>87</v>
      </c>
      <c r="B93" s="10" t="inlineStr">
        <is>
          <t>Missouri</t>
        </is>
      </c>
      <c r="C93" s="10" t="inlineStr">
        <is>
          <t>2026-09-25</t>
        </is>
      </c>
      <c r="D93" s="10" t="inlineStr">
        <is>
          <t>Used vehicle transaction</t>
        </is>
      </c>
    </row>
    <row r="94">
      <c r="A94" s="10" t="n">
        <v>87</v>
      </c>
      <c r="B94" s="10" t="inlineStr">
        <is>
          <t>Georgia</t>
        </is>
      </c>
      <c r="C94" s="10" t="inlineStr">
        <is>
          <t>2026-09-25</t>
        </is>
      </c>
      <c r="D94" s="10" t="inlineStr">
        <is>
          <t>New vehicle transaction</t>
        </is>
      </c>
    </row>
    <row r="95">
      <c r="A95" s="10" t="n">
        <v>87</v>
      </c>
      <c r="B95" s="10" t="inlineStr">
        <is>
          <t>Missouri</t>
        </is>
      </c>
      <c r="C95" s="10" t="inlineStr">
        <is>
          <t>2026-09-25</t>
        </is>
      </c>
      <c r="D95" s="10" t="inlineStr">
        <is>
          <t>Used vehicle transaction</t>
        </is>
      </c>
    </row>
    <row r="96">
      <c r="A96" s="10" t="n">
        <v>87</v>
      </c>
      <c r="B96" s="10" t="inlineStr">
        <is>
          <t>Missouri</t>
        </is>
      </c>
      <c r="C96" s="10" t="inlineStr">
        <is>
          <t>2026-09-25</t>
        </is>
      </c>
      <c r="D96" s="10" t="inlineStr">
        <is>
          <t>Used vehicle transaction</t>
        </is>
      </c>
    </row>
    <row r="97">
      <c r="A97" s="10" t="n">
        <v>87</v>
      </c>
      <c r="B97" s="10" t="inlineStr">
        <is>
          <t>Georgia</t>
        </is>
      </c>
      <c r="C97" s="10" t="inlineStr">
        <is>
          <t>2026-09-25</t>
        </is>
      </c>
      <c r="D97" s="10" t="inlineStr">
        <is>
          <t>New vehicle transaction</t>
        </is>
      </c>
    </row>
    <row r="98">
      <c r="A98" s="10" t="n">
        <v>87</v>
      </c>
      <c r="B98" s="10" t="inlineStr">
        <is>
          <t>Colorado</t>
        </is>
      </c>
      <c r="C98" s="10" t="inlineStr">
        <is>
          <t>2026-09-25</t>
        </is>
      </c>
      <c r="D98" s="10" t="inlineStr">
        <is>
          <t>Used vehicle transaction</t>
        </is>
      </c>
    </row>
    <row r="99">
      <c r="A99" s="10" t="n">
        <v>87</v>
      </c>
      <c r="B99" s="10" t="inlineStr">
        <is>
          <t>Colorado</t>
        </is>
      </c>
      <c r="C99" s="10" t="inlineStr">
        <is>
          <t>2026-09-25</t>
        </is>
      </c>
      <c r="D99" s="10" t="inlineStr">
        <is>
          <t>Used vehicle transaction</t>
        </is>
      </c>
    </row>
    <row r="100">
      <c r="A100" s="10" t="n">
        <v>87</v>
      </c>
      <c r="B100" s="10" t="inlineStr">
        <is>
          <t>Kentucky</t>
        </is>
      </c>
      <c r="C100" s="10" t="inlineStr">
        <is>
          <t>2026-09-25</t>
        </is>
      </c>
      <c r="D100" s="10" t="inlineStr">
        <is>
          <t>Used vehicle transaction</t>
        </is>
      </c>
    </row>
    <row r="101">
      <c r="A101" s="10" t="n">
        <v>87</v>
      </c>
      <c r="B101" s="10" t="inlineStr">
        <is>
          <t>Indiana</t>
        </is>
      </c>
      <c r="C101" s="10" t="inlineStr">
        <is>
          <t>2026-09-25</t>
        </is>
      </c>
      <c r="D101" s="10" t="inlineStr">
        <is>
          <t>Used vehicle transaction</t>
        </is>
      </c>
    </row>
    <row r="102">
      <c r="A102" s="10" t="n">
        <v>87</v>
      </c>
      <c r="B102" s="10" t="inlineStr">
        <is>
          <t>New Jersey</t>
        </is>
      </c>
      <c r="C102" s="10" t="inlineStr">
        <is>
          <t>2026-09-25</t>
        </is>
      </c>
      <c r="D102" s="10" t="inlineStr">
        <is>
          <t>New vehicle transaction</t>
        </is>
      </c>
    </row>
    <row r="103">
      <c r="A103" s="10" t="n">
        <v>87</v>
      </c>
      <c r="B103" s="10" t="inlineStr">
        <is>
          <t>Missouri</t>
        </is>
      </c>
      <c r="C103" s="10" t="inlineStr">
        <is>
          <t>2026-09-25</t>
        </is>
      </c>
      <c r="D103" s="10" t="inlineStr">
        <is>
          <t>Used vehicle transaction</t>
        </is>
      </c>
    </row>
    <row r="104">
      <c r="A104" s="10" t="n">
        <v>87</v>
      </c>
      <c r="B104" s="10" t="inlineStr">
        <is>
          <t>Colorado</t>
        </is>
      </c>
      <c r="C104" s="10" t="inlineStr">
        <is>
          <t>2026-09-25</t>
        </is>
      </c>
      <c r="D104" s="10" t="inlineStr">
        <is>
          <t>New vehicle transaction</t>
        </is>
      </c>
    </row>
    <row r="105">
      <c r="A105" s="10" t="n">
        <v>121</v>
      </c>
      <c r="B105" s="10" t="inlineStr">
        <is>
          <t>Florida</t>
        </is>
      </c>
      <c r="C105" s="10" t="inlineStr">
        <is>
          <t>2026-09-25</t>
        </is>
      </c>
      <c r="D105" s="10" t="inlineStr">
        <is>
          <t>New vehicle transaction</t>
        </is>
      </c>
    </row>
    <row r="106">
      <c r="A106" s="10" t="n">
        <v>87</v>
      </c>
      <c r="B106" s="10" t="inlineStr">
        <is>
          <t>Wyoming</t>
        </is>
      </c>
      <c r="C106" s="10" t="inlineStr">
        <is>
          <t>2026-09-25</t>
        </is>
      </c>
      <c r="D106" s="10" t="inlineStr">
        <is>
          <t>New vehicle transaction</t>
        </is>
      </c>
    </row>
    <row r="107">
      <c r="A107" s="10" t="n">
        <v>87</v>
      </c>
      <c r="B107" s="10" t="inlineStr">
        <is>
          <t>Colorado</t>
        </is>
      </c>
      <c r="C107" s="10" t="inlineStr">
        <is>
          <t>2026-09-25</t>
        </is>
      </c>
      <c r="D107" s="10" t="inlineStr">
        <is>
          <t>Used vehicle transaction</t>
        </is>
      </c>
    </row>
    <row r="108">
      <c r="A108" s="10" t="n">
        <v>87</v>
      </c>
      <c r="B108" s="10" t="inlineStr">
        <is>
          <t>Georgia</t>
        </is>
      </c>
      <c r="C108" s="10" t="inlineStr">
        <is>
          <t>2026-09-25</t>
        </is>
      </c>
      <c r="D108" s="10" t="inlineStr">
        <is>
          <t>New vehicle transaction</t>
        </is>
      </c>
    </row>
    <row r="109">
      <c r="A109" s="10" t="n">
        <v>87</v>
      </c>
      <c r="B109" s="10" t="inlineStr">
        <is>
          <t>Georgia</t>
        </is>
      </c>
      <c r="C109" s="10" t="inlineStr">
        <is>
          <t>2026-09-25</t>
        </is>
      </c>
      <c r="D109" s="10" t="inlineStr">
        <is>
          <t>New vehicle transaction</t>
        </is>
      </c>
    </row>
    <row r="110">
      <c r="A110" s="10" t="n">
        <v>110</v>
      </c>
      <c r="B110" s="10" t="inlineStr">
        <is>
          <t>Texas</t>
        </is>
      </c>
      <c r="C110" s="10" t="inlineStr">
        <is>
          <t>2026-09-25</t>
        </is>
      </c>
      <c r="D110" s="10" t="inlineStr">
        <is>
          <t>New vehicle transaction</t>
        </is>
      </c>
    </row>
    <row r="111">
      <c r="A111" s="10" t="n">
        <v>110</v>
      </c>
      <c r="B111" s="10" t="inlineStr">
        <is>
          <t>Texas</t>
        </is>
      </c>
      <c r="C111" s="10" t="inlineStr">
        <is>
          <t>2026-09-25</t>
        </is>
      </c>
      <c r="D111" s="10" t="inlineStr">
        <is>
          <t>New vehicle transaction</t>
        </is>
      </c>
    </row>
    <row r="112">
      <c r="A112" s="10" t="n">
        <v>110</v>
      </c>
      <c r="B112" s="10" t="inlineStr">
        <is>
          <t>Texas</t>
        </is>
      </c>
      <c r="C112" s="10" t="inlineStr">
        <is>
          <t>2026-09-25</t>
        </is>
      </c>
      <c r="D112" s="10" t="inlineStr">
        <is>
          <t>New vehicle transaction</t>
        </is>
      </c>
    </row>
    <row r="113">
      <c r="A113" s="10" t="n">
        <v>110</v>
      </c>
      <c r="B113" s="10" t="inlineStr">
        <is>
          <t>Texas</t>
        </is>
      </c>
      <c r="C113" s="10" t="inlineStr">
        <is>
          <t>2026-09-25</t>
        </is>
      </c>
      <c r="D113" s="10" t="inlineStr">
        <is>
          <t>New vehicle transaction</t>
        </is>
      </c>
    </row>
    <row r="114">
      <c r="A114" s="10" t="n">
        <v>110</v>
      </c>
      <c r="B114" s="10" t="inlineStr">
        <is>
          <t>Texas</t>
        </is>
      </c>
      <c r="C114" s="10" t="inlineStr">
        <is>
          <t>2026-09-25</t>
        </is>
      </c>
      <c r="D114" s="10" t="inlineStr">
        <is>
          <t>New vehicle transaction</t>
        </is>
      </c>
    </row>
    <row r="115">
      <c r="A115" s="10" t="n">
        <v>110</v>
      </c>
      <c r="B115" s="10" t="inlineStr">
        <is>
          <t>Texas</t>
        </is>
      </c>
      <c r="C115" s="10" t="inlineStr">
        <is>
          <t>2026-09-25</t>
        </is>
      </c>
      <c r="D115" s="10" t="inlineStr">
        <is>
          <t>New vehicle transaction</t>
        </is>
      </c>
    </row>
    <row r="116">
      <c r="A116" s="10" t="n">
        <v>110</v>
      </c>
      <c r="B116" s="10" t="inlineStr">
        <is>
          <t>Texas</t>
        </is>
      </c>
      <c r="C116" s="10" t="inlineStr">
        <is>
          <t>2026-09-25</t>
        </is>
      </c>
      <c r="D116" s="10" t="inlineStr">
        <is>
          <t>New vehicle transaction</t>
        </is>
      </c>
    </row>
    <row r="117">
      <c r="A117" s="10" t="n">
        <v>110</v>
      </c>
      <c r="B117" s="10" t="inlineStr">
        <is>
          <t>Texas</t>
        </is>
      </c>
      <c r="C117" s="10" t="inlineStr">
        <is>
          <t>2026-09-25</t>
        </is>
      </c>
      <c r="D117" s="10" t="inlineStr">
        <is>
          <t>New vehicle transaction</t>
        </is>
      </c>
    </row>
    <row r="118">
      <c r="A118" s="10" t="n">
        <v>110</v>
      </c>
      <c r="B118" s="10" t="inlineStr">
        <is>
          <t>Texas</t>
        </is>
      </c>
      <c r="C118" s="10" t="inlineStr">
        <is>
          <t>2026-09-25</t>
        </is>
      </c>
      <c r="D118" s="10" t="inlineStr">
        <is>
          <t>New vehicle transaction</t>
        </is>
      </c>
    </row>
    <row r="119">
      <c r="A119" s="10" t="n">
        <v>110</v>
      </c>
      <c r="B119" s="10" t="inlineStr">
        <is>
          <t>Texas</t>
        </is>
      </c>
      <c r="C119" s="10" t="inlineStr">
        <is>
          <t>2026-09-25</t>
        </is>
      </c>
      <c r="D119" s="10" t="inlineStr">
        <is>
          <t>New vehicle transaction</t>
        </is>
      </c>
    </row>
    <row r="120">
      <c r="A120" s="10" t="n">
        <v>110</v>
      </c>
      <c r="B120" s="10" t="inlineStr">
        <is>
          <t>Texas</t>
        </is>
      </c>
      <c r="C120" s="10" t="inlineStr">
        <is>
          <t>2026-09-25</t>
        </is>
      </c>
      <c r="D120" s="10" t="inlineStr">
        <is>
          <t>New vehicle transaction</t>
        </is>
      </c>
    </row>
    <row r="121">
      <c r="A121" s="10" t="n">
        <v>110</v>
      </c>
      <c r="B121" s="10" t="inlineStr">
        <is>
          <t>Texas</t>
        </is>
      </c>
      <c r="C121" s="10" t="inlineStr">
        <is>
          <t>2026-09-25</t>
        </is>
      </c>
      <c r="D121" s="10" t="inlineStr">
        <is>
          <t>New vehicle transaction</t>
        </is>
      </c>
    </row>
    <row r="122">
      <c r="A122" s="10" t="n">
        <v>110</v>
      </c>
      <c r="B122" s="10" t="inlineStr">
        <is>
          <t>Texas</t>
        </is>
      </c>
      <c r="C122" s="10" t="inlineStr">
        <is>
          <t>2026-09-25</t>
        </is>
      </c>
      <c r="D122" s="10" t="inlineStr">
        <is>
          <t>New vehicle transaction</t>
        </is>
      </c>
    </row>
    <row r="123">
      <c r="A123" s="10" t="n">
        <v>110</v>
      </c>
      <c r="B123" s="10" t="inlineStr">
        <is>
          <t>Texas</t>
        </is>
      </c>
      <c r="C123" s="10" t="inlineStr">
        <is>
          <t>2026-09-25</t>
        </is>
      </c>
      <c r="D123" s="10" t="inlineStr">
        <is>
          <t>New vehicle transaction</t>
        </is>
      </c>
    </row>
    <row r="124">
      <c r="A124" s="10" t="n">
        <v>110</v>
      </c>
      <c r="B124" s="10" t="inlineStr">
        <is>
          <t>Texas</t>
        </is>
      </c>
      <c r="C124" s="10" t="inlineStr">
        <is>
          <t>2026-09-25</t>
        </is>
      </c>
      <c r="D124" s="10" t="inlineStr">
        <is>
          <t>New vehicle transaction</t>
        </is>
      </c>
    </row>
    <row r="125">
      <c r="A125" s="10" t="n">
        <v>110</v>
      </c>
      <c r="B125" s="10" t="inlineStr">
        <is>
          <t>Texas</t>
        </is>
      </c>
      <c r="C125" s="10" t="inlineStr">
        <is>
          <t>2026-09-25</t>
        </is>
      </c>
      <c r="D125" s="10" t="inlineStr">
        <is>
          <t>New vehicle transaction</t>
        </is>
      </c>
    </row>
    <row r="126">
      <c r="A126" s="10" t="n">
        <v>110</v>
      </c>
      <c r="B126" s="10" t="inlineStr">
        <is>
          <t>Texas</t>
        </is>
      </c>
      <c r="C126" s="10" t="inlineStr">
        <is>
          <t>2026-09-25</t>
        </is>
      </c>
      <c r="D126" s="10" t="inlineStr">
        <is>
          <t>New vehicle transaction</t>
        </is>
      </c>
    </row>
    <row r="127">
      <c r="A127" s="10" t="n">
        <v>110</v>
      </c>
      <c r="B127" s="10" t="inlineStr">
        <is>
          <t>Texas</t>
        </is>
      </c>
      <c r="C127" s="10" t="inlineStr">
        <is>
          <t>2026-09-25</t>
        </is>
      </c>
      <c r="D127" s="10" t="inlineStr">
        <is>
          <t>New vehicle transaction</t>
        </is>
      </c>
    </row>
    <row r="128">
      <c r="A128" s="10" t="n">
        <v>110</v>
      </c>
      <c r="B128" s="10" t="inlineStr">
        <is>
          <t>Texas</t>
        </is>
      </c>
      <c r="C128" s="10" t="inlineStr">
        <is>
          <t>2026-09-25</t>
        </is>
      </c>
      <c r="D128" s="10" t="inlineStr">
        <is>
          <t>New vehicle transaction</t>
        </is>
      </c>
    </row>
    <row r="129">
      <c r="A129" s="10" t="n">
        <v>110</v>
      </c>
      <c r="B129" s="10" t="inlineStr">
        <is>
          <t>Texas</t>
        </is>
      </c>
      <c r="C129" s="10" t="inlineStr">
        <is>
          <t>2026-09-25</t>
        </is>
      </c>
      <c r="D129" s="10" t="inlineStr">
        <is>
          <t>New vehicle transaction</t>
        </is>
      </c>
    </row>
    <row r="130">
      <c r="A130" s="10" t="n">
        <v>110</v>
      </c>
      <c r="B130" s="10" t="inlineStr">
        <is>
          <t>Texas</t>
        </is>
      </c>
      <c r="C130" s="10" t="inlineStr">
        <is>
          <t>2026-09-25</t>
        </is>
      </c>
      <c r="D130" s="10" t="inlineStr">
        <is>
          <t>New vehicle transaction</t>
        </is>
      </c>
    </row>
    <row r="131">
      <c r="A131" s="10" t="n">
        <v>110</v>
      </c>
      <c r="B131" s="10" t="inlineStr">
        <is>
          <t>Texas</t>
        </is>
      </c>
      <c r="C131" s="10" t="inlineStr">
        <is>
          <t>2026-09-25</t>
        </is>
      </c>
      <c r="D131" s="10" t="inlineStr">
        <is>
          <t>New vehicle transaction</t>
        </is>
      </c>
    </row>
    <row r="132">
      <c r="A132" s="10" t="n">
        <v>110</v>
      </c>
      <c r="B132" s="10" t="inlineStr">
        <is>
          <t>Texas</t>
        </is>
      </c>
      <c r="C132" s="10" t="inlineStr">
        <is>
          <t>2026-09-25</t>
        </is>
      </c>
      <c r="D132" s="10" t="inlineStr">
        <is>
          <t>New vehicle transaction</t>
        </is>
      </c>
    </row>
    <row r="133">
      <c r="A133" s="10" t="n">
        <v>110</v>
      </c>
      <c r="B133" s="10" t="inlineStr">
        <is>
          <t>Texas</t>
        </is>
      </c>
      <c r="C133" s="10" t="inlineStr">
        <is>
          <t>2026-09-25</t>
        </is>
      </c>
      <c r="D133" s="10" t="inlineStr">
        <is>
          <t>New vehicle transaction</t>
        </is>
      </c>
    </row>
    <row r="134">
      <c r="A134" s="10" t="n">
        <v>110</v>
      </c>
      <c r="B134" s="10" t="inlineStr">
        <is>
          <t>Texas</t>
        </is>
      </c>
      <c r="C134" s="10" t="inlineStr">
        <is>
          <t>2026-09-25</t>
        </is>
      </c>
      <c r="D134" s="10" t="inlineStr">
        <is>
          <t>New vehicle transaction</t>
        </is>
      </c>
    </row>
    <row r="135">
      <c r="A135" s="10" t="n">
        <v>110</v>
      </c>
      <c r="B135" s="10" t="inlineStr">
        <is>
          <t>Texas</t>
        </is>
      </c>
      <c r="C135" s="10" t="inlineStr">
        <is>
          <t>2026-09-25</t>
        </is>
      </c>
      <c r="D135" s="10" t="inlineStr">
        <is>
          <t>New vehicle transaction</t>
        </is>
      </c>
    </row>
    <row r="136">
      <c r="A136" s="10" t="n">
        <v>110</v>
      </c>
      <c r="B136" s="10" t="inlineStr">
        <is>
          <t>Texas</t>
        </is>
      </c>
      <c r="C136" s="10" t="inlineStr">
        <is>
          <t>2026-09-25</t>
        </is>
      </c>
      <c r="D136" s="10" t="inlineStr">
        <is>
          <t>New vehicle transaction</t>
        </is>
      </c>
    </row>
    <row r="137">
      <c r="A137" s="10" t="n">
        <v>110</v>
      </c>
      <c r="B137" s="10" t="inlineStr">
        <is>
          <t>Texas</t>
        </is>
      </c>
      <c r="C137" s="10" t="inlineStr">
        <is>
          <t>2026-09-25</t>
        </is>
      </c>
      <c r="D137" s="10" t="inlineStr">
        <is>
          <t>New vehicle transaction</t>
        </is>
      </c>
    </row>
    <row r="138">
      <c r="A138" s="10" t="n">
        <v>110</v>
      </c>
      <c r="B138" s="10" t="inlineStr">
        <is>
          <t>Texas</t>
        </is>
      </c>
      <c r="C138" s="10" t="inlineStr">
        <is>
          <t>2026-09-25</t>
        </is>
      </c>
      <c r="D138" s="10" t="inlineStr">
        <is>
          <t>New vehicle transaction</t>
        </is>
      </c>
    </row>
    <row r="139">
      <c r="A139" s="10" t="n">
        <v>110</v>
      </c>
      <c r="B139" s="10" t="inlineStr">
        <is>
          <t>Texas</t>
        </is>
      </c>
      <c r="C139" s="10" t="inlineStr">
        <is>
          <t>2026-09-25</t>
        </is>
      </c>
      <c r="D139" s="10" t="inlineStr">
        <is>
          <t>New vehicle transaction</t>
        </is>
      </c>
    </row>
    <row r="140">
      <c r="A140" s="10" t="n">
        <v>87</v>
      </c>
      <c r="B140" s="10" t="inlineStr">
        <is>
          <t>Arizona</t>
        </is>
      </c>
      <c r="C140" s="10" t="inlineStr">
        <is>
          <t>2026-09-25</t>
        </is>
      </c>
      <c r="D140" s="10" t="inlineStr">
        <is>
          <t>Used vehicle transaction</t>
        </is>
      </c>
    </row>
    <row r="141">
      <c r="A141" s="10" t="n">
        <v>87</v>
      </c>
      <c r="B141" s="10" t="inlineStr">
        <is>
          <t>Arizona</t>
        </is>
      </c>
      <c r="C141" s="10" t="inlineStr">
        <is>
          <t>2026-09-25</t>
        </is>
      </c>
      <c r="D141" s="10" t="inlineStr">
        <is>
          <t>Used vehicle transaction</t>
        </is>
      </c>
    </row>
    <row r="142">
      <c r="A142" s="10" t="n">
        <v>87</v>
      </c>
      <c r="B142" s="10" t="inlineStr">
        <is>
          <t>Texas</t>
        </is>
      </c>
      <c r="C142" s="10" t="inlineStr">
        <is>
          <t>2026-09-25</t>
        </is>
      </c>
      <c r="D142" s="10" t="inlineStr">
        <is>
          <t>New vehicle transaction</t>
        </is>
      </c>
    </row>
    <row r="143">
      <c r="A143" s="10" t="n">
        <v>121</v>
      </c>
      <c r="B143" s="10" t="inlineStr">
        <is>
          <t>Florida</t>
        </is>
      </c>
      <c r="C143" s="10" t="inlineStr">
        <is>
          <t>2026-09-25</t>
        </is>
      </c>
      <c r="D143" s="10" t="inlineStr">
        <is>
          <t>New vehicle transaction</t>
        </is>
      </c>
    </row>
    <row r="144">
      <c r="A144" s="10" t="n">
        <v>121</v>
      </c>
      <c r="B144" s="10" t="inlineStr">
        <is>
          <t>Florida</t>
        </is>
      </c>
      <c r="C144" s="10" t="inlineStr">
        <is>
          <t>2026-09-25</t>
        </is>
      </c>
      <c r="D144" s="10" t="inlineStr">
        <is>
          <t>New vehicle transaction</t>
        </is>
      </c>
    </row>
    <row r="145">
      <c r="A145" s="10" t="n">
        <v>87</v>
      </c>
      <c r="B145" s="10" t="inlineStr">
        <is>
          <t>Texas</t>
        </is>
      </c>
      <c r="C145" s="10" t="inlineStr">
        <is>
          <t>2026-09-25</t>
        </is>
      </c>
      <c r="D145" s="10" t="inlineStr">
        <is>
          <t>New vehicle transaction</t>
        </is>
      </c>
    </row>
    <row r="146">
      <c r="A146" s="10" t="n">
        <v>87</v>
      </c>
      <c r="B146" s="10" t="inlineStr">
        <is>
          <t>Florida</t>
        </is>
      </c>
      <c r="C146" s="10" t="inlineStr">
        <is>
          <t>2026-09-25</t>
        </is>
      </c>
      <c r="D146" s="10" t="inlineStr">
        <is>
          <t>Used vehicle transaction</t>
        </is>
      </c>
    </row>
    <row r="147">
      <c r="A147" s="10" t="n">
        <v>87</v>
      </c>
      <c r="B147" s="10" t="inlineStr">
        <is>
          <t>Virginia</t>
        </is>
      </c>
      <c r="C147" s="10" t="inlineStr">
        <is>
          <t>2026-09-25</t>
        </is>
      </c>
      <c r="D147" s="10" t="inlineStr">
        <is>
          <t>Used vehicle transaction</t>
        </is>
      </c>
    </row>
    <row r="148">
      <c r="A148" s="10" t="n">
        <v>87</v>
      </c>
      <c r="B148" s="10" t="inlineStr">
        <is>
          <t>Alabama</t>
        </is>
      </c>
      <c r="C148" s="10" t="inlineStr">
        <is>
          <t>2026-09-25</t>
        </is>
      </c>
      <c r="D148" s="10" t="inlineStr">
        <is>
          <t>Used vehicle transaction</t>
        </is>
      </c>
    </row>
    <row r="149">
      <c r="A149" s="10" t="n">
        <v>87</v>
      </c>
      <c r="B149" s="10" t="inlineStr">
        <is>
          <t>District of Columbia</t>
        </is>
      </c>
      <c r="C149" s="10" t="inlineStr">
        <is>
          <t>2026-09-25</t>
        </is>
      </c>
      <c r="D149" s="10" t="inlineStr">
        <is>
          <t>Used vehicle transaction</t>
        </is>
      </c>
    </row>
    <row r="150">
      <c r="A150" s="10" t="n">
        <v>87</v>
      </c>
      <c r="B150" s="10" t="inlineStr">
        <is>
          <t>Alabama</t>
        </is>
      </c>
      <c r="C150" s="10" t="inlineStr">
        <is>
          <t>2026-09-25</t>
        </is>
      </c>
      <c r="D150" s="10" t="inlineStr">
        <is>
          <t>Used vehicle transaction</t>
        </is>
      </c>
    </row>
    <row r="151">
      <c r="A151" s="10" t="n">
        <v>87</v>
      </c>
      <c r="B151" s="10" t="inlineStr">
        <is>
          <t>Alabama</t>
        </is>
      </c>
      <c r="C151" s="10" t="inlineStr">
        <is>
          <t>2026-09-24</t>
        </is>
      </c>
      <c r="D151" s="10" t="inlineStr">
        <is>
          <t>Used vehicle transaction</t>
        </is>
      </c>
    </row>
    <row r="152">
      <c r="A152" s="10" t="n">
        <v>87</v>
      </c>
      <c r="B152" s="10" t="inlineStr">
        <is>
          <t>West Virginia</t>
        </is>
      </c>
      <c r="C152" s="10" t="inlineStr">
        <is>
          <t>2026-09-24</t>
        </is>
      </c>
      <c r="D152" s="10" t="inlineStr">
        <is>
          <t>New vehicle transaction</t>
        </is>
      </c>
    </row>
    <row r="153">
      <c r="A153" s="10" t="n">
        <v>87</v>
      </c>
      <c r="B153" s="10" t="inlineStr">
        <is>
          <t>Maine</t>
        </is>
      </c>
      <c r="C153" s="10" t="inlineStr">
        <is>
          <t>2026-09-24</t>
        </is>
      </c>
      <c r="D153" s="10" t="inlineStr">
        <is>
          <t>New vehicle transaction</t>
        </is>
      </c>
    </row>
    <row r="154">
      <c r="A154" s="10" t="n">
        <v>87</v>
      </c>
      <c r="B154" s="10" t="inlineStr">
        <is>
          <t>Maine</t>
        </is>
      </c>
      <c r="C154" s="10" t="inlineStr">
        <is>
          <t>2026-09-24</t>
        </is>
      </c>
      <c r="D154" s="10" t="inlineStr">
        <is>
          <t>New vehicle transaction</t>
        </is>
      </c>
    </row>
    <row r="155">
      <c r="A155" s="10" t="n">
        <v>87</v>
      </c>
      <c r="B155" s="10" t="inlineStr">
        <is>
          <t>New Hampshire</t>
        </is>
      </c>
      <c r="C155" s="10" t="inlineStr">
        <is>
          <t>2026-09-24</t>
        </is>
      </c>
      <c r="D155" s="10" t="inlineStr">
        <is>
          <t>New vehicle transaction</t>
        </is>
      </c>
    </row>
    <row r="156">
      <c r="A156" s="10" t="n">
        <v>90</v>
      </c>
      <c r="B156" s="10" t="inlineStr">
        <is>
          <t>Arizona</t>
        </is>
      </c>
      <c r="C156" s="10" t="inlineStr">
        <is>
          <t>2026-09-24</t>
        </is>
      </c>
      <c r="D156" s="10" t="inlineStr">
        <is>
          <t>Used vehicle transaction</t>
        </is>
      </c>
    </row>
    <row r="157">
      <c r="A157" s="10" t="n">
        <v>90</v>
      </c>
      <c r="B157" s="10" t="inlineStr">
        <is>
          <t>Arizona</t>
        </is>
      </c>
      <c r="C157" s="10" t="inlineStr">
        <is>
          <t>2026-09-24</t>
        </is>
      </c>
      <c r="D157" s="10" t="inlineStr">
        <is>
          <t>Used vehicle transaction</t>
        </is>
      </c>
    </row>
    <row r="158">
      <c r="A158" s="10" t="n">
        <v>90</v>
      </c>
      <c r="B158" s="10" t="inlineStr">
        <is>
          <t>Arizona</t>
        </is>
      </c>
      <c r="C158" s="10" t="inlineStr">
        <is>
          <t>2026-09-24</t>
        </is>
      </c>
      <c r="D158" s="10" t="inlineStr">
        <is>
          <t>Used vehicle transaction</t>
        </is>
      </c>
    </row>
    <row r="159">
      <c r="A159" s="10" t="n">
        <v>87</v>
      </c>
      <c r="B159" s="10" t="inlineStr">
        <is>
          <t>Louisiana</t>
        </is>
      </c>
      <c r="C159" s="10" t="inlineStr">
        <is>
          <t>2026-09-24</t>
        </is>
      </c>
      <c r="D159" s="10" t="inlineStr">
        <is>
          <t>New vehicle transaction</t>
        </is>
      </c>
    </row>
    <row r="160">
      <c r="A160" s="10" t="n">
        <v>87</v>
      </c>
      <c r="B160" s="10" t="inlineStr">
        <is>
          <t>Texas</t>
        </is>
      </c>
      <c r="C160" s="10" t="inlineStr">
        <is>
          <t>2026-09-24</t>
        </is>
      </c>
      <c r="D160" s="10" t="inlineStr">
        <is>
          <t>New vehicle transaction</t>
        </is>
      </c>
    </row>
    <row r="161">
      <c r="A161" s="10" t="n">
        <v>87</v>
      </c>
      <c r="B161" s="10" t="inlineStr">
        <is>
          <t>Arizona</t>
        </is>
      </c>
      <c r="C161" s="10" t="inlineStr">
        <is>
          <t>2026-09-24</t>
        </is>
      </c>
      <c r="D161" s="10" t="inlineStr">
        <is>
          <t>New vehicle transaction</t>
        </is>
      </c>
    </row>
    <row r="162">
      <c r="A162" s="10" t="n">
        <v>87</v>
      </c>
      <c r="B162" s="10" t="inlineStr">
        <is>
          <t>Illinois</t>
        </is>
      </c>
      <c r="C162" s="10" t="inlineStr">
        <is>
          <t>2026-09-24</t>
        </is>
      </c>
      <c r="D162" s="10" t="inlineStr">
        <is>
          <t>New vehicle transaction</t>
        </is>
      </c>
    </row>
    <row r="163">
      <c r="A163" s="10" t="n">
        <v>87</v>
      </c>
      <c r="B163" s="10" t="inlineStr">
        <is>
          <t>California</t>
        </is>
      </c>
      <c r="C163" s="10" t="inlineStr">
        <is>
          <t>2026-09-24</t>
        </is>
      </c>
      <c r="D163" s="10" t="inlineStr">
        <is>
          <t>New vehicle transaction</t>
        </is>
      </c>
    </row>
    <row r="164">
      <c r="A164" s="10" t="n">
        <v>87</v>
      </c>
      <c r="B164" s="10" t="inlineStr">
        <is>
          <t>Illinois</t>
        </is>
      </c>
      <c r="C164" s="10" t="inlineStr">
        <is>
          <t>2026-09-24</t>
        </is>
      </c>
      <c r="D164" s="10" t="inlineStr">
        <is>
          <t>New vehicle transaction</t>
        </is>
      </c>
    </row>
    <row r="165">
      <c r="A165" s="10" t="n">
        <v>87</v>
      </c>
      <c r="B165" s="10" t="inlineStr">
        <is>
          <t>Texas</t>
        </is>
      </c>
      <c r="C165" s="10" t="inlineStr">
        <is>
          <t>2026-09-24</t>
        </is>
      </c>
      <c r="D165" s="10" t="inlineStr">
        <is>
          <t>New vehicle transaction</t>
        </is>
      </c>
    </row>
    <row r="166">
      <c r="A166" s="10" t="n">
        <v>87</v>
      </c>
      <c r="B166" s="10" t="inlineStr">
        <is>
          <t>Texas</t>
        </is>
      </c>
      <c r="C166" s="10" t="inlineStr">
        <is>
          <t>2026-09-24</t>
        </is>
      </c>
      <c r="D166" s="10" t="inlineStr">
        <is>
          <t>New vehicle transaction</t>
        </is>
      </c>
    </row>
    <row r="167">
      <c r="A167" s="10" t="n">
        <v>110</v>
      </c>
      <c r="B167" s="10" t="inlineStr">
        <is>
          <t>Texas</t>
        </is>
      </c>
      <c r="C167" s="10" t="inlineStr">
        <is>
          <t>2026-09-24</t>
        </is>
      </c>
      <c r="D167" s="10" t="inlineStr">
        <is>
          <t>Used vehicle transaction</t>
        </is>
      </c>
    </row>
    <row r="168">
      <c r="A168" s="10" t="n">
        <v>110</v>
      </c>
      <c r="B168" s="10" t="inlineStr">
        <is>
          <t>Texas</t>
        </is>
      </c>
      <c r="C168" s="10" t="inlineStr">
        <is>
          <t>2026-09-24</t>
        </is>
      </c>
      <c r="D168" s="10" t="inlineStr">
        <is>
          <t>Used vehicle transaction</t>
        </is>
      </c>
    </row>
    <row r="169">
      <c r="A169" s="10" t="n">
        <v>110</v>
      </c>
      <c r="B169" s="10" t="inlineStr">
        <is>
          <t>Texas</t>
        </is>
      </c>
      <c r="C169" s="10" t="inlineStr">
        <is>
          <t>2026-09-24</t>
        </is>
      </c>
      <c r="D169" s="10" t="inlineStr">
        <is>
          <t>Used vehicle transaction</t>
        </is>
      </c>
    </row>
    <row r="170">
      <c r="A170" s="10" t="n">
        <v>110</v>
      </c>
      <c r="B170" s="10" t="inlineStr">
        <is>
          <t>Texas</t>
        </is>
      </c>
      <c r="C170" s="10" t="inlineStr">
        <is>
          <t>2026-09-24</t>
        </is>
      </c>
      <c r="D170" s="10" t="inlineStr">
        <is>
          <t>Used vehicle transaction</t>
        </is>
      </c>
    </row>
    <row r="171">
      <c r="A171" s="10" t="n">
        <v>110</v>
      </c>
      <c r="B171" s="10" t="inlineStr">
        <is>
          <t>Texas</t>
        </is>
      </c>
      <c r="C171" s="10" t="inlineStr">
        <is>
          <t>2026-09-24</t>
        </is>
      </c>
      <c r="D171" s="10" t="inlineStr">
        <is>
          <t>Used vehicle transaction</t>
        </is>
      </c>
    </row>
    <row r="172">
      <c r="A172" s="10" t="n">
        <v>110</v>
      </c>
      <c r="B172" s="10" t="inlineStr">
        <is>
          <t>Texas</t>
        </is>
      </c>
      <c r="C172" s="10" t="inlineStr">
        <is>
          <t>2026-09-24</t>
        </is>
      </c>
      <c r="D172" s="10" t="inlineStr">
        <is>
          <t>Used vehicle transaction</t>
        </is>
      </c>
    </row>
    <row r="173">
      <c r="A173" s="10" t="n">
        <v>110</v>
      </c>
      <c r="B173" s="10" t="inlineStr">
        <is>
          <t>Texas</t>
        </is>
      </c>
      <c r="C173" s="10" t="inlineStr">
        <is>
          <t>2026-09-24</t>
        </is>
      </c>
      <c r="D173" s="10" t="inlineStr">
        <is>
          <t>New vehicle transaction</t>
        </is>
      </c>
    </row>
    <row r="174">
      <c r="A174" s="10" t="n">
        <v>110</v>
      </c>
      <c r="B174" s="10" t="inlineStr">
        <is>
          <t>Texas</t>
        </is>
      </c>
      <c r="C174" s="10" t="inlineStr">
        <is>
          <t>2026-09-24</t>
        </is>
      </c>
      <c r="D174" s="10" t="inlineStr">
        <is>
          <t>Used vehicle transaction</t>
        </is>
      </c>
    </row>
    <row r="175">
      <c r="A175" s="10" t="n">
        <v>110</v>
      </c>
      <c r="B175" s="10" t="inlineStr">
        <is>
          <t>Texas</t>
        </is>
      </c>
      <c r="C175" s="10" t="inlineStr">
        <is>
          <t>2026-09-24</t>
        </is>
      </c>
      <c r="D175" s="10" t="inlineStr">
        <is>
          <t>Used vehicle transaction</t>
        </is>
      </c>
    </row>
    <row r="176">
      <c r="A176" s="10" t="n">
        <v>110</v>
      </c>
      <c r="B176" s="10" t="inlineStr">
        <is>
          <t>Texas</t>
        </is>
      </c>
      <c r="C176" s="10" t="inlineStr">
        <is>
          <t>2026-09-24</t>
        </is>
      </c>
      <c r="D176" s="10" t="inlineStr">
        <is>
          <t>New vehicle transaction</t>
        </is>
      </c>
    </row>
    <row r="177">
      <c r="A177" s="10" t="n">
        <v>110</v>
      </c>
      <c r="B177" s="10" t="inlineStr">
        <is>
          <t>Texas</t>
        </is>
      </c>
      <c r="C177" s="10" t="inlineStr">
        <is>
          <t>2026-09-24</t>
        </is>
      </c>
      <c r="D177" s="10" t="inlineStr">
        <is>
          <t>New vehicle transaction</t>
        </is>
      </c>
    </row>
    <row r="178">
      <c r="A178" s="10" t="n">
        <v>87</v>
      </c>
      <c r="B178" s="10" t="inlineStr">
        <is>
          <t>Arizona</t>
        </is>
      </c>
      <c r="C178" s="10" t="inlineStr">
        <is>
          <t>2026-09-24</t>
        </is>
      </c>
      <c r="D178" s="10" t="inlineStr">
        <is>
          <t>New vehicle transaction</t>
        </is>
      </c>
    </row>
    <row r="179">
      <c r="A179" s="10" t="n">
        <v>87</v>
      </c>
      <c r="B179" s="10" t="inlineStr">
        <is>
          <t>Illinois</t>
        </is>
      </c>
      <c r="C179" s="10" t="inlineStr">
        <is>
          <t>2026-09-24</t>
        </is>
      </c>
      <c r="D179" s="10" t="inlineStr">
        <is>
          <t>New vehicle transaction</t>
        </is>
      </c>
    </row>
    <row r="180">
      <c r="A180" s="10" t="n">
        <v>87</v>
      </c>
      <c r="B180" s="10" t="inlineStr">
        <is>
          <t>Arkansas</t>
        </is>
      </c>
      <c r="C180" s="10" t="inlineStr">
        <is>
          <t>2026-09-24</t>
        </is>
      </c>
      <c r="D180" s="10" t="inlineStr">
        <is>
          <t>New vehicle transaction</t>
        </is>
      </c>
    </row>
    <row r="181">
      <c r="A181" s="10" t="n">
        <v>87</v>
      </c>
      <c r="B181" s="10" t="inlineStr">
        <is>
          <t>Colorado</t>
        </is>
      </c>
      <c r="C181" s="10" t="inlineStr">
        <is>
          <t>2026-09-24</t>
        </is>
      </c>
      <c r="D181" s="10" t="inlineStr">
        <is>
          <t>Used vehicle transaction</t>
        </is>
      </c>
    </row>
    <row r="182">
      <c r="A182" s="10" t="n">
        <v>121</v>
      </c>
      <c r="B182" s="10" t="inlineStr">
        <is>
          <t>Florida</t>
        </is>
      </c>
      <c r="C182" s="10" t="inlineStr">
        <is>
          <t>2026-09-24</t>
        </is>
      </c>
      <c r="D182" s="10" t="inlineStr">
        <is>
          <t>New vehicle transaction</t>
        </is>
      </c>
    </row>
    <row r="183">
      <c r="A183" s="10" t="n">
        <v>121</v>
      </c>
      <c r="B183" s="10" t="inlineStr">
        <is>
          <t>Florida</t>
        </is>
      </c>
      <c r="C183" s="10" t="inlineStr">
        <is>
          <t>2026-09-24</t>
        </is>
      </c>
      <c r="D183" s="10" t="inlineStr">
        <is>
          <t>New vehicle transaction</t>
        </is>
      </c>
    </row>
    <row r="184">
      <c r="A184" s="10" t="n">
        <v>87</v>
      </c>
      <c r="B184" s="10" t="inlineStr">
        <is>
          <t>Louisiana</t>
        </is>
      </c>
      <c r="C184" s="10" t="inlineStr">
        <is>
          <t>2026-09-24</t>
        </is>
      </c>
      <c r="D184" s="10" t="inlineStr">
        <is>
          <t>New vehicle transaction</t>
        </is>
      </c>
    </row>
    <row r="185">
      <c r="A185" s="10" t="n">
        <v>87</v>
      </c>
      <c r="B185" s="10" t="inlineStr">
        <is>
          <t>Indiana</t>
        </is>
      </c>
      <c r="C185" s="10" t="inlineStr">
        <is>
          <t>2026-09-24</t>
        </is>
      </c>
      <c r="D185" s="10" t="inlineStr">
        <is>
          <t>Used vehicle transaction</t>
        </is>
      </c>
    </row>
    <row r="186">
      <c r="A186" s="10" t="n">
        <v>87</v>
      </c>
      <c r="B186" s="10" t="inlineStr">
        <is>
          <t>Arkansas</t>
        </is>
      </c>
      <c r="C186" s="10" t="inlineStr">
        <is>
          <t>2026-09-24</t>
        </is>
      </c>
      <c r="D186" s="10" t="inlineStr">
        <is>
          <t>Used vehicle transaction</t>
        </is>
      </c>
    </row>
    <row r="187">
      <c r="A187" s="10" t="n">
        <v>87</v>
      </c>
      <c r="B187" s="10" t="inlineStr">
        <is>
          <t>Arkansas</t>
        </is>
      </c>
      <c r="C187" s="10" t="inlineStr">
        <is>
          <t>2026-09-24</t>
        </is>
      </c>
      <c r="D187" s="10" t="inlineStr">
        <is>
          <t>Used vehicle transaction</t>
        </is>
      </c>
    </row>
    <row r="188">
      <c r="A188" s="10" t="n">
        <v>87</v>
      </c>
      <c r="B188" s="10" t="inlineStr">
        <is>
          <t>Arkansas</t>
        </is>
      </c>
      <c r="C188" s="10" t="inlineStr">
        <is>
          <t>2026-09-24</t>
        </is>
      </c>
      <c r="D188" s="10" t="inlineStr">
        <is>
          <t>New vehicle transaction</t>
        </is>
      </c>
    </row>
    <row r="189">
      <c r="A189" s="10" t="n">
        <v>87</v>
      </c>
      <c r="B189" s="10" t="inlineStr">
        <is>
          <t>California</t>
        </is>
      </c>
      <c r="C189" s="10" t="inlineStr">
        <is>
          <t>2026-09-24</t>
        </is>
      </c>
      <c r="D189" s="10" t="inlineStr">
        <is>
          <t>New vehicle transaction</t>
        </is>
      </c>
    </row>
    <row r="190">
      <c r="A190" s="10" t="n">
        <v>87</v>
      </c>
      <c r="B190" s="10" t="inlineStr">
        <is>
          <t>Wisconsin</t>
        </is>
      </c>
      <c r="C190" s="10" t="inlineStr">
        <is>
          <t>2026-09-24</t>
        </is>
      </c>
      <c r="D190" s="10" t="inlineStr">
        <is>
          <t>New vehicle transaction</t>
        </is>
      </c>
    </row>
    <row r="191">
      <c r="A191" s="10" t="n">
        <v>87</v>
      </c>
      <c r="B191" s="10" t="inlineStr">
        <is>
          <t>Georgia</t>
        </is>
      </c>
      <c r="C191" s="10" t="inlineStr">
        <is>
          <t>2026-09-24</t>
        </is>
      </c>
      <c r="D191" s="10" t="inlineStr">
        <is>
          <t>Used vehicle transaction</t>
        </is>
      </c>
    </row>
    <row r="192">
      <c r="A192" s="10" t="n">
        <v>87</v>
      </c>
      <c r="B192" s="10" t="inlineStr">
        <is>
          <t>New Hampshire</t>
        </is>
      </c>
      <c r="C192" s="10" t="inlineStr">
        <is>
          <t>2026-09-24</t>
        </is>
      </c>
      <c r="D192" s="10" t="inlineStr">
        <is>
          <t>New vehicle transaction</t>
        </is>
      </c>
    </row>
    <row r="193">
      <c r="A193" s="10" t="n">
        <v>87</v>
      </c>
      <c r="B193" s="10" t="inlineStr">
        <is>
          <t>Alabama</t>
        </is>
      </c>
      <c r="C193" s="10" t="inlineStr">
        <is>
          <t>2026-09-24</t>
        </is>
      </c>
      <c r="D193" s="10" t="inlineStr">
        <is>
          <t>New vehicle transaction</t>
        </is>
      </c>
    </row>
    <row r="194">
      <c r="A194" s="10" t="n">
        <v>121</v>
      </c>
      <c r="B194" s="10" t="inlineStr">
        <is>
          <t>Florida</t>
        </is>
      </c>
      <c r="C194" s="10" t="inlineStr">
        <is>
          <t>2026-09-24</t>
        </is>
      </c>
      <c r="D194" s="10" t="inlineStr">
        <is>
          <t>Used vehicle transaction</t>
        </is>
      </c>
    </row>
    <row r="195">
      <c r="A195" s="10" t="n">
        <v>87</v>
      </c>
      <c r="B195" s="10" t="inlineStr">
        <is>
          <t>Texas</t>
        </is>
      </c>
      <c r="C195" s="10" t="inlineStr">
        <is>
          <t>2026-09-24</t>
        </is>
      </c>
      <c r="D195" s="10" t="inlineStr">
        <is>
          <t>New vehicle transaction</t>
        </is>
      </c>
    </row>
    <row r="196">
      <c r="A196" s="10" t="n">
        <v>87</v>
      </c>
      <c r="B196" s="10" t="inlineStr">
        <is>
          <t>North Carolina</t>
        </is>
      </c>
      <c r="C196" s="10" t="inlineStr">
        <is>
          <t>2026-09-24</t>
        </is>
      </c>
      <c r="D196" s="10" t="inlineStr">
        <is>
          <t>Used vehicle transaction</t>
        </is>
      </c>
    </row>
    <row r="197">
      <c r="A197" s="10" t="n">
        <v>87</v>
      </c>
      <c r="B197" s="10" t="inlineStr">
        <is>
          <t>Texas</t>
        </is>
      </c>
      <c r="C197" s="10" t="inlineStr">
        <is>
          <t>2026-09-24</t>
        </is>
      </c>
      <c r="D197" s="10" t="inlineStr">
        <is>
          <t>New vehicle transaction</t>
        </is>
      </c>
    </row>
    <row r="198">
      <c r="A198" s="10" t="n">
        <v>87</v>
      </c>
      <c r="B198" s="10" t="inlineStr">
        <is>
          <t>Texas</t>
        </is>
      </c>
      <c r="C198" s="10" t="inlineStr">
        <is>
          <t>2026-09-24</t>
        </is>
      </c>
      <c r="D198" s="10" t="inlineStr">
        <is>
          <t>New vehicle transaction</t>
        </is>
      </c>
    </row>
    <row r="199">
      <c r="A199" s="10" t="n">
        <v>87</v>
      </c>
      <c r="B199" s="10" t="inlineStr">
        <is>
          <t>Tennessee</t>
        </is>
      </c>
      <c r="C199" s="10" t="inlineStr">
        <is>
          <t>2026-09-24</t>
        </is>
      </c>
      <c r="D199" s="10" t="inlineStr">
        <is>
          <t>New vehicle transaction</t>
        </is>
      </c>
    </row>
    <row r="200">
      <c r="A200" s="10" t="n">
        <v>87</v>
      </c>
      <c r="B200" s="10" t="inlineStr">
        <is>
          <t>Delaware</t>
        </is>
      </c>
      <c r="C200" s="10" t="inlineStr">
        <is>
          <t>2026-09-24</t>
        </is>
      </c>
      <c r="D200" s="10" t="inlineStr">
        <is>
          <t>Used vehicle transaction</t>
        </is>
      </c>
    </row>
    <row r="201">
      <c r="A201" s="10" t="n">
        <v>87</v>
      </c>
      <c r="B201" s="10" t="inlineStr">
        <is>
          <t>Texas</t>
        </is>
      </c>
      <c r="C201" s="10" t="inlineStr">
        <is>
          <t>2026-09-24</t>
        </is>
      </c>
      <c r="D201" s="10" t="inlineStr">
        <is>
          <t>New vehicle transaction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34" customWidth="1" min="4" max="4"/>
    <col width="38" customWidth="1" min="5" max="5"/>
    <col width="38" customWidth="1" min="6" max="6"/>
    <col width="48" customWidth="1" min="7" max="7"/>
    <col width="10" customWidth="1" min="8" max="8"/>
  </cols>
  <sheetData>
    <row r="1">
      <c r="A1" s="1" t="inlineStr">
        <is>
          <t>Part 2: Customer feedback -&gt; form and mapping changes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Process steps, then a triage of the six example comments.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Step</t>
        </is>
      </c>
      <c r="B4" s="6" t="inlineStr">
        <is>
          <t>What happens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1. Capture</t>
        </is>
      </c>
      <c r="B5" s="5" t="inlineStr">
        <is>
          <t>Every comment is logged against a form, field, transaction and customer (structured, not free-text email).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2. Classify</t>
        </is>
      </c>
      <c r="B6" s="5" t="inlineStr">
        <is>
          <t>Mapping error / condition error / customer preference / extraction bug / form version / conflicting.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3. Verify</t>
        </is>
      </c>
      <c r="B7" s="5" t="inlineStr">
        <is>
          <t>Check against the DMV rule or instructions and the source documents before changing anything.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4. Scope</t>
        </is>
      </c>
      <c r="B8" s="5" t="inlineStr">
        <is>
          <t>Decide global (state rule) vs per-customer override. The default is global only when the state rule supports it.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5. Change</t>
        </is>
      </c>
      <c r="B9" s="5" t="inlineStr">
        <is>
          <t>Edit the mapping record (or route to AI or forms work) with a reason and a link to the comment.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6. Test</t>
        </is>
      </c>
      <c r="B10" s="5" t="inlineStr">
        <is>
          <t>Regression-test against past calibrated transactions for that form before publishing.</t>
        </is>
      </c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7. Close loop</t>
        </is>
      </c>
      <c r="B11" s="5" t="inlineStr">
        <is>
          <t>Reply to the customer, and track repeat-error rate per form as the calibration quality KPI.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3" t="inlineStr">
        <is>
          <t>#</t>
        </is>
      </c>
      <c r="B14" s="23" t="inlineStr">
        <is>
          <t>Comment</t>
        </is>
      </c>
      <c r="C14" s="23" t="inlineStr">
        <is>
          <t>Category</t>
        </is>
      </c>
      <c r="D14" s="23" t="inlineStr">
        <is>
          <t>Likely root cause</t>
        </is>
      </c>
      <c r="E14" s="23" t="inlineStr">
        <is>
          <t>How to verify</t>
        </is>
      </c>
      <c r="F14" s="23" t="inlineStr">
        <is>
          <t>Scope</t>
        </is>
      </c>
      <c r="G14" s="23" t="inlineStr">
        <is>
          <t>Action / owner</t>
        </is>
      </c>
      <c r="H14" s="23" t="inlineStr">
        <is>
          <t>Priority</t>
        </is>
      </c>
    </row>
    <row r="15" ht="60" customHeight="1">
      <c r="A15" s="5" t="n">
        <v>1</v>
      </c>
      <c r="B15" s="5" t="inlineStr">
        <is>
          <t>Box 12 should have the lessor's name, not the lessee's.</t>
        </is>
      </c>
      <c r="C15" s="5" t="inlineStr">
        <is>
          <t>Mapping error (wrong source field)</t>
        </is>
      </c>
      <c r="D15" s="5" t="inlineStr">
        <is>
          <t>Mapping points at lessee instead of lessor.</t>
        </is>
      </c>
      <c r="E15" s="5" t="inlineStr">
        <is>
          <t>Check the DMV form instructions for Box 12.</t>
        </is>
      </c>
      <c r="F15" s="5" t="inlineStr">
        <is>
          <t>Global: all customers on this form.</t>
        </is>
      </c>
      <c r="G15" s="5" t="inlineStr">
        <is>
          <t>Calibrator edits the mapping record; regression-test leased transactions.</t>
        </is>
      </c>
      <c r="H15" s="5" t="inlineStr">
        <is>
          <t>High</t>
        </is>
      </c>
    </row>
    <row r="16" ht="60" customHeight="1">
      <c r="A16" s="5" t="n">
        <v>2</v>
      </c>
      <c r="B16" s="5" t="inlineStr">
        <is>
          <t>We never fill in the odometer reading on brand-new vehicles. Please leave it blank.</t>
        </is>
      </c>
      <c r="C16" s="5" t="inlineStr">
        <is>
          <t>Customer preference vs state rule</t>
        </is>
      </c>
      <c r="D16" s="5" t="inlineStr">
        <is>
          <t>May be a house habit or a real exemption.</t>
        </is>
      </c>
      <c r="E16" s="5" t="inlineStr">
        <is>
          <t>Check the state rule: is odometer required or exempt for new vehicles?</t>
        </is>
      </c>
      <c r="F16" s="5" t="inlineStr">
        <is>
          <t>If the state exempts it: global conditional rule. If only a preference: per-customer override.</t>
        </is>
      </c>
      <c r="G16" s="5" t="inlineStr">
        <is>
          <t>Calibrator adds a condition, or a customer-level override, and logs the reason.</t>
        </is>
      </c>
      <c r="H16" s="5" t="inlineStr">
        <is>
          <t>Medium</t>
        </is>
      </c>
    </row>
    <row r="17" ht="60" customHeight="1">
      <c r="A17" s="5" t="n">
        <v>3</v>
      </c>
      <c r="B17" s="5" t="inlineStr">
        <is>
          <t>The VIN on page 2 is wrong. It has an O where it should be a 0.</t>
        </is>
      </c>
      <c r="C17" s="5" t="inlineStr">
        <is>
          <t>Data / extraction error (not a mapping)</t>
        </is>
      </c>
      <c r="D17" s="5" t="inlineStr">
        <is>
          <t>OCR/extraction misread; VINs never contain I, O or Q.</t>
        </is>
      </c>
      <c r="E17" s="5" t="inlineStr">
        <is>
          <t>Compare to the source document; check the VIN check digit.</t>
        </is>
      </c>
      <c r="F17" s="5" t="inlineStr">
        <is>
          <t>Global extraction fix plus a validation rule.</t>
        </is>
      </c>
      <c r="G17" s="5" t="inlineStr">
        <is>
          <t>Route to the AI/extraction team; add a VIN validation check. No mapping change.</t>
        </is>
      </c>
      <c r="H17" s="5" t="inlineStr">
        <is>
          <t>High</t>
        </is>
      </c>
    </row>
    <row r="18" ht="60" customHeight="1">
      <c r="A18" s="5" t="n">
        <v>4</v>
      </c>
      <c r="B18" s="5" t="inlineStr">
        <is>
          <t>This is the old version of the form. The DMV switched to the new one last month.</t>
        </is>
      </c>
      <c r="C18" s="5" t="inlineStr">
        <is>
          <t>Form version change</t>
        </is>
      </c>
      <c r="D18" s="5" t="inlineStr">
        <is>
          <t>The form template is stale.</t>
        </is>
      </c>
      <c r="E18" s="5" t="inlineStr">
        <is>
          <t>Confirm on the DMV site; diff old vs new fields.</t>
        </is>
      </c>
      <c r="F18" s="5" t="inlineStr">
        <is>
          <t>Global: the form and every mapping on it.</t>
        </is>
      </c>
      <c r="G18" s="5" t="inlineStr">
        <is>
          <t>Version the form record, re-map changed fields, re-calibrate; set up DMV form-change monitoring.</t>
        </is>
      </c>
      <c r="H18" s="5" t="inlineStr">
        <is>
          <t>Critical</t>
        </is>
      </c>
    </row>
    <row r="19" ht="60" customHeight="1">
      <c r="A19" s="5" t="n">
        <v>5</v>
      </c>
      <c r="B19" s="5" t="inlineStr">
        <is>
          <t>The purchase price should include the dealer fees. (A second clerk said the opposite.)</t>
        </is>
      </c>
      <c r="C19" s="5" t="inlineStr">
        <is>
          <t>Conflicting feedback</t>
        </is>
      </c>
      <c r="D19" s="5" t="inlineStr">
        <is>
          <t>Ambiguous state definition or inconsistent internal practice.</t>
        </is>
      </c>
      <c r="E19" s="5" t="inlineStr">
        <is>
          <t>Check the state's definition of taxable purchase price; ask the customer's admin for the policy.</t>
        </is>
      </c>
      <c r="F19" s="5" t="inlineStr">
        <is>
          <t>Global if the state defines it; per-customer only if the state allows either.</t>
        </is>
      </c>
      <c r="G19" s="5" t="inlineStr">
        <is>
          <t>Hold the change; escalate to the customer's account owner for one answer; document the decision.</t>
        </is>
      </c>
      <c r="H19" s="5" t="inlineStr">
        <is>
          <t>Medium</t>
        </is>
      </c>
    </row>
    <row r="20" ht="60" customHeight="1">
      <c r="A20" s="5" t="n">
        <v>6</v>
      </c>
      <c r="B20" s="5" t="inlineStr">
        <is>
          <t>Why is the lienholder section filled in? This vehicle was paid in cash.</t>
        </is>
      </c>
      <c r="C20" s="5" t="inlineStr">
        <is>
          <t>Mapping rule / condition error</t>
        </is>
      </c>
      <c r="D20" s="5" t="inlineStr">
        <is>
          <t>Condition 'only fill if financed' is missing, or bad input data.</t>
        </is>
      </c>
      <c r="E20" s="5" t="inlineStr">
        <is>
          <t>Check the transaction: does the input data show a lien?</t>
        </is>
      </c>
      <c r="F20" s="5" t="inlineStr">
        <is>
          <t>Global rule fix if the condition is wrong; data fix if the input was wrong.</t>
        </is>
      </c>
      <c r="G20" s="5" t="inlineStr">
        <is>
          <t>Calibrator adds or fixes the condition; regression-test cash and financed transactions.</t>
        </is>
      </c>
      <c r="H20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2026-09-29T13:24:30Z</dcterms:created>
  <dcterms:modified xmlns:dcterms="http://purl.org/dc/terms/" xmlns:xsi="http://www.w3.org/2001/XMLSchema-instance" xsi:type="dcterms:W3CDTF">2026-09-29T13:24:30Z</dcterms:modified>
</cp:coreProperties>
</file>